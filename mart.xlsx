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u\Desktop\"/>
    </mc:Choice>
  </mc:AlternateContent>
  <xr:revisionPtr revIDLastSave="0" documentId="13_ncr:1_{263EDAEB-8778-4AA5-B7F6-7AA3E914CA34}" xr6:coauthVersionLast="47" xr6:coauthVersionMax="47" xr10:uidLastSave="{00000000-0000-0000-0000-000000000000}"/>
  <bookViews>
    <workbookView xWindow="-110" yWindow="-110" windowWidth="19420" windowHeight="11500" firstSheet="11" activeTab="15" xr2:uid="{BD05EAEF-A486-470F-AC3E-0E131F0CC220}"/>
  </bookViews>
  <sheets>
    <sheet name="Product contribution" sheetId="1" r:id="rId1"/>
    <sheet name="Balance Sheet" sheetId="2" r:id="rId2"/>
    <sheet name="Balance Sheet Trend analysis" sheetId="3" r:id="rId3"/>
    <sheet name="income statement" sheetId="4" r:id="rId4"/>
    <sheet name="income statement Trend Analysis" sheetId="5" r:id="rId5"/>
    <sheet name="Cash flow" sheetId="6" r:id="rId6"/>
    <sheet name="Ratio analysis" sheetId="7" r:id="rId7"/>
    <sheet name="Data" sheetId="8" state="hidden" r:id="rId8"/>
    <sheet name="Visualization" sheetId="9" r:id="rId9"/>
    <sheet name="P&amp;L Assumptions" sheetId="11" r:id="rId10"/>
    <sheet name="BS assumptions" sheetId="12" r:id="rId11"/>
    <sheet name="P&amp;L forcast" sheetId="13" r:id="rId12"/>
    <sheet name="BS Forcast" sheetId="14" r:id="rId13"/>
    <sheet name="Cash Flow forcast" sheetId="15" r:id="rId14"/>
    <sheet name="WACC" sheetId="16" r:id="rId15"/>
    <sheet name="DCF Valuation" sheetId="18" r:id="rId16"/>
    <sheet name="sensitivity analysis" sheetId="19" r:id="rId17"/>
    <sheet name="Sheet1" sheetId="17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5" l="1"/>
  <c r="L7" i="14"/>
  <c r="M7" i="14" s="1"/>
  <c r="K7" i="14"/>
  <c r="J7" i="14"/>
  <c r="I7" i="14"/>
  <c r="H7" i="14"/>
  <c r="L19" i="11"/>
  <c r="M19" i="11"/>
  <c r="N19" i="11"/>
  <c r="K19" i="11"/>
  <c r="J19" i="11"/>
  <c r="H19" i="11"/>
  <c r="I19" i="11"/>
  <c r="G30" i="11"/>
  <c r="K12" i="11"/>
  <c r="L12" i="11" s="1"/>
  <c r="M12" i="11" s="1"/>
  <c r="N12" i="11" s="1"/>
  <c r="H9" i="11"/>
  <c r="I9" i="11"/>
  <c r="F7" i="14"/>
  <c r="B26" i="18"/>
  <c r="B27" i="18"/>
  <c r="B28" i="18"/>
  <c r="B25" i="18"/>
  <c r="A24" i="18"/>
  <c r="A26" i="18"/>
  <c r="A27" i="18"/>
  <c r="A28" i="18"/>
  <c r="A25" i="18"/>
  <c r="B20" i="18"/>
  <c r="B21" i="18"/>
  <c r="B22" i="18"/>
  <c r="B23" i="18"/>
  <c r="B19" i="18"/>
  <c r="A21" i="18"/>
  <c r="A22" i="18"/>
  <c r="A23" i="18"/>
  <c r="A20" i="18"/>
  <c r="A19" i="18"/>
  <c r="B17" i="18"/>
  <c r="K37" i="11"/>
  <c r="G7" i="14"/>
  <c r="L16" i="11"/>
  <c r="C37" i="11"/>
  <c r="D37" i="11"/>
  <c r="E37" i="11"/>
  <c r="B37" i="11"/>
  <c r="C23" i="11"/>
  <c r="D23" i="11"/>
  <c r="E23" i="11"/>
  <c r="B23" i="11"/>
  <c r="F10" i="15"/>
  <c r="I23" i="11"/>
  <c r="C30" i="11"/>
  <c r="D30" i="11"/>
  <c r="E30" i="11"/>
  <c r="B30" i="11"/>
  <c r="K18" i="13"/>
  <c r="L18" i="13"/>
  <c r="M18" i="13"/>
  <c r="K14" i="12"/>
  <c r="L14" i="12"/>
  <c r="M14" i="12"/>
  <c r="K9" i="12"/>
  <c r="L9" i="12"/>
  <c r="M9" i="12"/>
  <c r="L43" i="11"/>
  <c r="M43" i="11"/>
  <c r="N43" i="11"/>
  <c r="M37" i="11"/>
  <c r="L37" i="11"/>
  <c r="N37" i="11"/>
  <c r="B11" i="16"/>
  <c r="B18" i="16" s="1"/>
  <c r="B21" i="16" s="1"/>
  <c r="B19" i="16"/>
  <c r="B15" i="16"/>
  <c r="D4" i="17"/>
  <c r="G55" i="17"/>
  <c r="B5" i="16"/>
  <c r="B4" i="16"/>
  <c r="C11" i="15"/>
  <c r="D11" i="15"/>
  <c r="E11" i="15"/>
  <c r="B11" i="15"/>
  <c r="C10" i="15"/>
  <c r="D10" i="15"/>
  <c r="E10" i="15"/>
  <c r="B10" i="15"/>
  <c r="C8" i="15"/>
  <c r="C9" i="15" s="1"/>
  <c r="C12" i="15" s="1"/>
  <c r="C8" i="18" s="1"/>
  <c r="D8" i="15"/>
  <c r="D9" i="15" s="1"/>
  <c r="D12" i="15" s="1"/>
  <c r="D8" i="18" s="1"/>
  <c r="E8" i="15"/>
  <c r="E9" i="15" s="1"/>
  <c r="B8" i="15"/>
  <c r="B9" i="15" s="1"/>
  <c r="D14" i="14"/>
  <c r="E14" i="14"/>
  <c r="C14" i="14"/>
  <c r="C13" i="14"/>
  <c r="D13" i="14"/>
  <c r="E13" i="14"/>
  <c r="B13" i="14"/>
  <c r="C6" i="14"/>
  <c r="C8" i="14" s="1"/>
  <c r="D6" i="14"/>
  <c r="D8" i="14" s="1"/>
  <c r="E6" i="14"/>
  <c r="E8" i="14" s="1"/>
  <c r="B6" i="14"/>
  <c r="B8" i="14" s="1"/>
  <c r="G18" i="13"/>
  <c r="H18" i="13"/>
  <c r="I18" i="13"/>
  <c r="J18" i="13"/>
  <c r="F18" i="13"/>
  <c r="C8" i="13"/>
  <c r="C12" i="13" s="1"/>
  <c r="C15" i="13" s="1"/>
  <c r="C20" i="13" s="1"/>
  <c r="D8" i="13"/>
  <c r="D12" i="13" s="1"/>
  <c r="D15" i="13" s="1"/>
  <c r="D20" i="13" s="1"/>
  <c r="E8" i="13"/>
  <c r="E12" i="13" s="1"/>
  <c r="E15" i="13" s="1"/>
  <c r="E20" i="13" s="1"/>
  <c r="B8" i="13"/>
  <c r="B12" i="13" s="1"/>
  <c r="B15" i="13" s="1"/>
  <c r="B20" i="13" s="1"/>
  <c r="G14" i="12"/>
  <c r="H14" i="12"/>
  <c r="I14" i="12"/>
  <c r="J14" i="12"/>
  <c r="F14" i="12"/>
  <c r="G9" i="12"/>
  <c r="H9" i="12"/>
  <c r="I9" i="12"/>
  <c r="J9" i="12"/>
  <c r="F9" i="12"/>
  <c r="C16" i="12"/>
  <c r="C17" i="12" s="1"/>
  <c r="D16" i="12"/>
  <c r="D17" i="12" s="1"/>
  <c r="E16" i="12"/>
  <c r="E17" i="12" s="1"/>
  <c r="B16" i="12"/>
  <c r="B17" i="12" s="1"/>
  <c r="C12" i="12"/>
  <c r="D12" i="12"/>
  <c r="E12" i="12"/>
  <c r="B12" i="12"/>
  <c r="C6" i="12"/>
  <c r="D6" i="12"/>
  <c r="E6" i="12"/>
  <c r="B6" i="12"/>
  <c r="C8" i="12"/>
  <c r="C9" i="12" s="1"/>
  <c r="D8" i="12"/>
  <c r="D9" i="12" s="1"/>
  <c r="E8" i="12"/>
  <c r="E9" i="12" s="1"/>
  <c r="B8" i="12"/>
  <c r="B9" i="12" s="1"/>
  <c r="H43" i="11"/>
  <c r="I43" i="11"/>
  <c r="J43" i="11"/>
  <c r="K43" i="11"/>
  <c r="G43" i="11"/>
  <c r="G33" i="11"/>
  <c r="D15" i="11"/>
  <c r="E15" i="11"/>
  <c r="C15" i="11"/>
  <c r="B15" i="11"/>
  <c r="E9" i="11"/>
  <c r="D9" i="11"/>
  <c r="C9" i="11"/>
  <c r="E29" i="7"/>
  <c r="C18" i="8"/>
  <c r="E24" i="7"/>
  <c r="C17" i="8"/>
  <c r="C16" i="8"/>
  <c r="C15" i="8"/>
  <c r="B15" i="8" a="1"/>
  <c r="E33" i="7"/>
  <c r="D33" i="7"/>
  <c r="C33" i="7"/>
  <c r="B33" i="7"/>
  <c r="H9" i="8" a="1"/>
  <c r="G9" i="8" a="1"/>
  <c r="D9" i="8" a="1"/>
  <c r="C12" i="8"/>
  <c r="C11" i="8"/>
  <c r="C10" i="8"/>
  <c r="C9" i="8"/>
  <c r="B9" i="8" a="1"/>
  <c r="J3" i="8"/>
  <c r="J5" i="8"/>
  <c r="J4" i="8"/>
  <c r="I3" i="8"/>
  <c r="I4" i="8"/>
  <c r="I5" i="8"/>
  <c r="I2" i="8"/>
  <c r="A2" i="8" a="1"/>
  <c r="D3" i="8"/>
  <c r="D4" i="8"/>
  <c r="D5" i="8"/>
  <c r="D2" i="8"/>
  <c r="C2" i="8" a="1"/>
  <c r="B2" i="8" a="1"/>
  <c r="E9" i="7"/>
  <c r="D9" i="7"/>
  <c r="C39" i="7"/>
  <c r="D39" i="7"/>
  <c r="E39" i="7"/>
  <c r="B39" i="7"/>
  <c r="C37" i="7"/>
  <c r="D37" i="7"/>
  <c r="E37" i="7"/>
  <c r="B37" i="7"/>
  <c r="E32" i="7"/>
  <c r="D32" i="7"/>
  <c r="C32" i="7"/>
  <c r="B32" i="7"/>
  <c r="C20" i="7"/>
  <c r="D20" i="7"/>
  <c r="E20" i="7"/>
  <c r="B20" i="7"/>
  <c r="C29" i="7"/>
  <c r="D29" i="7"/>
  <c r="B29" i="7"/>
  <c r="C26" i="7"/>
  <c r="D26" i="7"/>
  <c r="E26" i="7"/>
  <c r="B26" i="7"/>
  <c r="C23" i="7"/>
  <c r="D23" i="7"/>
  <c r="E23" i="7"/>
  <c r="B23" i="7"/>
  <c r="C17" i="7"/>
  <c r="D17" i="7"/>
  <c r="E17" i="7"/>
  <c r="B17" i="7"/>
  <c r="C14" i="7"/>
  <c r="D14" i="7"/>
  <c r="E14" i="7"/>
  <c r="B14" i="7"/>
  <c r="C5" i="7"/>
  <c r="D5" i="7"/>
  <c r="E5" i="7"/>
  <c r="B5" i="7"/>
  <c r="E8" i="6"/>
  <c r="E36" i="7" s="1"/>
  <c r="B8" i="6"/>
  <c r="B36" i="7" s="1"/>
  <c r="E15" i="5"/>
  <c r="D15" i="5"/>
  <c r="C15" i="5"/>
  <c r="E9" i="5"/>
  <c r="E10" i="5"/>
  <c r="E11" i="5"/>
  <c r="E12" i="5"/>
  <c r="E14" i="5"/>
  <c r="E17" i="5"/>
  <c r="E18" i="5"/>
  <c r="E19" i="5"/>
  <c r="E21" i="5"/>
  <c r="E22" i="5"/>
  <c r="E24" i="5"/>
  <c r="E25" i="5"/>
  <c r="E26" i="5"/>
  <c r="E8" i="5"/>
  <c r="D9" i="5"/>
  <c r="D10" i="5"/>
  <c r="D11" i="5"/>
  <c r="D12" i="5"/>
  <c r="D14" i="5"/>
  <c r="D17" i="5"/>
  <c r="D18" i="5"/>
  <c r="D19" i="5"/>
  <c r="D21" i="5"/>
  <c r="D22" i="5"/>
  <c r="D24" i="5"/>
  <c r="D25" i="5"/>
  <c r="D26" i="5"/>
  <c r="D8" i="5"/>
  <c r="C9" i="5"/>
  <c r="C10" i="5"/>
  <c r="C11" i="5"/>
  <c r="C12" i="5"/>
  <c r="C14" i="5"/>
  <c r="C17" i="5"/>
  <c r="C18" i="5"/>
  <c r="C19" i="5"/>
  <c r="C21" i="5"/>
  <c r="C22" i="5"/>
  <c r="C24" i="5"/>
  <c r="C25" i="5"/>
  <c r="C26" i="5"/>
  <c r="C8" i="5"/>
  <c r="C5" i="5"/>
  <c r="D5" i="5"/>
  <c r="E5" i="5"/>
  <c r="B5" i="5"/>
  <c r="B15" i="5"/>
  <c r="B25" i="5"/>
  <c r="B14" i="5"/>
  <c r="B17" i="5"/>
  <c r="B18" i="5"/>
  <c r="B19" i="5"/>
  <c r="B21" i="5"/>
  <c r="B22" i="5"/>
  <c r="B24" i="5"/>
  <c r="B26" i="5"/>
  <c r="B12" i="5"/>
  <c r="B9" i="5"/>
  <c r="B10" i="5"/>
  <c r="B11" i="5"/>
  <c r="B8" i="5"/>
  <c r="E26" i="4"/>
  <c r="E24" i="4"/>
  <c r="E21" i="4"/>
  <c r="E17" i="4"/>
  <c r="E14" i="4"/>
  <c r="E12" i="4"/>
  <c r="B26" i="4"/>
  <c r="D12" i="4"/>
  <c r="D14" i="4" s="1"/>
  <c r="D17" i="4" s="1"/>
  <c r="D21" i="4" s="1"/>
  <c r="D24" i="4" s="1"/>
  <c r="D26" i="4" s="1"/>
  <c r="C12" i="4"/>
  <c r="C14" i="4" s="1"/>
  <c r="C17" i="4" s="1"/>
  <c r="C21" i="4" s="1"/>
  <c r="C24" i="4" s="1"/>
  <c r="C26" i="4" s="1"/>
  <c r="B12" i="4"/>
  <c r="B14" i="4" s="1"/>
  <c r="B17" i="4" s="1"/>
  <c r="B21" i="4" s="1"/>
  <c r="B24" i="4" s="1"/>
  <c r="C52" i="3"/>
  <c r="D52" i="3"/>
  <c r="E52" i="3"/>
  <c r="B52" i="3"/>
  <c r="E50" i="3"/>
  <c r="E51" i="3"/>
  <c r="E49" i="3"/>
  <c r="D50" i="3"/>
  <c r="D51" i="3"/>
  <c r="D49" i="3"/>
  <c r="C50" i="3"/>
  <c r="C51" i="3"/>
  <c r="C49" i="3"/>
  <c r="B50" i="3"/>
  <c r="B51" i="3"/>
  <c r="B49" i="3"/>
  <c r="C48" i="3"/>
  <c r="D48" i="3"/>
  <c r="E48" i="3"/>
  <c r="B48" i="3"/>
  <c r="E41" i="3"/>
  <c r="E42" i="3"/>
  <c r="E43" i="3"/>
  <c r="E44" i="3"/>
  <c r="E45" i="3"/>
  <c r="E46" i="3"/>
  <c r="E47" i="3"/>
  <c r="E40" i="3"/>
  <c r="D41" i="3"/>
  <c r="D42" i="3"/>
  <c r="D43" i="3"/>
  <c r="D44" i="3"/>
  <c r="D45" i="3"/>
  <c r="D46" i="3"/>
  <c r="D47" i="3"/>
  <c r="D40" i="3"/>
  <c r="C41" i="3"/>
  <c r="C42" i="3"/>
  <c r="C43" i="3"/>
  <c r="C44" i="3"/>
  <c r="C45" i="3"/>
  <c r="C46" i="3"/>
  <c r="C47" i="3"/>
  <c r="C40" i="3"/>
  <c r="B41" i="3"/>
  <c r="B42" i="3"/>
  <c r="B43" i="3"/>
  <c r="B44" i="3"/>
  <c r="B45" i="3"/>
  <c r="B46" i="3"/>
  <c r="B47" i="3"/>
  <c r="B40" i="3"/>
  <c r="C37" i="3"/>
  <c r="D37" i="3"/>
  <c r="E37" i="3"/>
  <c r="B37" i="3"/>
  <c r="E34" i="3"/>
  <c r="E35" i="3"/>
  <c r="E36" i="3"/>
  <c r="E33" i="3"/>
  <c r="D34" i="3"/>
  <c r="D35" i="3"/>
  <c r="D36" i="3"/>
  <c r="D33" i="3"/>
  <c r="C34" i="3"/>
  <c r="C35" i="3"/>
  <c r="C36" i="3"/>
  <c r="C33" i="3"/>
  <c r="E21" i="3"/>
  <c r="E22" i="3"/>
  <c r="E23" i="3"/>
  <c r="E24" i="3"/>
  <c r="E25" i="3"/>
  <c r="E26" i="3"/>
  <c r="E27" i="3"/>
  <c r="E20" i="3"/>
  <c r="D21" i="3"/>
  <c r="D22" i="3"/>
  <c r="D23" i="3"/>
  <c r="D24" i="3"/>
  <c r="D25" i="3"/>
  <c r="D26" i="3"/>
  <c r="D27" i="3"/>
  <c r="D20" i="3"/>
  <c r="C21" i="3"/>
  <c r="C22" i="3"/>
  <c r="C23" i="3"/>
  <c r="C24" i="3"/>
  <c r="C25" i="3"/>
  <c r="C26" i="3"/>
  <c r="C27" i="3"/>
  <c r="C20" i="3"/>
  <c r="E7" i="3"/>
  <c r="E8" i="3"/>
  <c r="E9" i="3"/>
  <c r="E10" i="3"/>
  <c r="E11" i="3"/>
  <c r="E12" i="3"/>
  <c r="E13" i="3"/>
  <c r="E14" i="3"/>
  <c r="E15" i="3"/>
  <c r="E16" i="3"/>
  <c r="E6" i="3"/>
  <c r="D7" i="3"/>
  <c r="D8" i="3"/>
  <c r="D9" i="3"/>
  <c r="D10" i="3"/>
  <c r="D11" i="3"/>
  <c r="D12" i="3"/>
  <c r="D13" i="3"/>
  <c r="D14" i="3"/>
  <c r="D15" i="3"/>
  <c r="D16" i="3"/>
  <c r="D6" i="3"/>
  <c r="C7" i="3"/>
  <c r="C8" i="3"/>
  <c r="C9" i="3"/>
  <c r="C10" i="3"/>
  <c r="C11" i="3"/>
  <c r="C12" i="3"/>
  <c r="C13" i="3"/>
  <c r="C14" i="3"/>
  <c r="C15" i="3"/>
  <c r="C16" i="3"/>
  <c r="C6" i="3"/>
  <c r="B34" i="3"/>
  <c r="B35" i="3"/>
  <c r="B36" i="3"/>
  <c r="B33" i="3"/>
  <c r="C29" i="3"/>
  <c r="D29" i="3"/>
  <c r="E29" i="3"/>
  <c r="B29" i="3"/>
  <c r="C28" i="3"/>
  <c r="D28" i="3"/>
  <c r="E28" i="3"/>
  <c r="B28" i="3"/>
  <c r="B21" i="3"/>
  <c r="B22" i="3"/>
  <c r="B23" i="3"/>
  <c r="B24" i="3"/>
  <c r="B25" i="3"/>
  <c r="B26" i="3"/>
  <c r="B27" i="3"/>
  <c r="B20" i="3"/>
  <c r="C17" i="3"/>
  <c r="D17" i="3"/>
  <c r="E17" i="3"/>
  <c r="B17" i="3"/>
  <c r="B7" i="3"/>
  <c r="B8" i="3"/>
  <c r="B9" i="3"/>
  <c r="B10" i="3"/>
  <c r="B11" i="3"/>
  <c r="B12" i="3"/>
  <c r="B13" i="3"/>
  <c r="B14" i="3"/>
  <c r="B15" i="3"/>
  <c r="B16" i="3"/>
  <c r="B6" i="3"/>
  <c r="E48" i="2"/>
  <c r="E53" i="2"/>
  <c r="E37" i="2"/>
  <c r="E29" i="2"/>
  <c r="E28" i="2"/>
  <c r="E17" i="2"/>
  <c r="B53" i="2"/>
  <c r="C53" i="2"/>
  <c r="D53" i="2"/>
  <c r="D48" i="2"/>
  <c r="D37" i="2"/>
  <c r="D28" i="2"/>
  <c r="D17" i="2"/>
  <c r="D29" i="2" s="1"/>
  <c r="C48" i="2"/>
  <c r="C37" i="2"/>
  <c r="C28" i="2"/>
  <c r="C17" i="2"/>
  <c r="C29" i="2" s="1"/>
  <c r="B37" i="2"/>
  <c r="B28" i="2"/>
  <c r="B17" i="2"/>
  <c r="J4" i="1"/>
  <c r="J3" i="1"/>
  <c r="J2" i="1"/>
  <c r="H4" i="1"/>
  <c r="H3" i="1"/>
  <c r="H2" i="1"/>
  <c r="F4" i="1"/>
  <c r="F3" i="1"/>
  <c r="F2" i="1"/>
  <c r="D4" i="1"/>
  <c r="D3" i="1"/>
  <c r="D2" i="1"/>
  <c r="L9" i="18" l="1"/>
  <c r="F9" i="18"/>
  <c r="K9" i="18"/>
  <c r="H9" i="18"/>
  <c r="J9" i="18"/>
  <c r="G9" i="18"/>
  <c r="I9" i="18"/>
  <c r="M9" i="18"/>
  <c r="B12" i="15"/>
  <c r="B8" i="18" s="1"/>
  <c r="E12" i="15"/>
  <c r="E8" i="18" s="1"/>
  <c r="G10" i="15"/>
  <c r="H10" i="15"/>
  <c r="C14" i="12"/>
  <c r="D14" i="12"/>
  <c r="E14" i="12"/>
  <c r="B14" i="12"/>
  <c r="I37" i="11"/>
  <c r="G37" i="11"/>
  <c r="J37" i="11"/>
  <c r="H37" i="11"/>
  <c r="G23" i="11"/>
  <c r="D16" i="11"/>
  <c r="C16" i="11"/>
  <c r="E16" i="11"/>
  <c r="G9" i="11"/>
  <c r="G8" i="11" s="1"/>
  <c r="G29" i="11" s="1"/>
  <c r="F11" i="13" s="1"/>
  <c r="D24" i="7"/>
  <c r="B18" i="7"/>
  <c r="C18" i="7"/>
  <c r="E18" i="7"/>
  <c r="D18" i="7"/>
  <c r="C25" i="7"/>
  <c r="C24" i="7"/>
  <c r="C7" i="7"/>
  <c r="D7" i="7"/>
  <c r="D25" i="7"/>
  <c r="E7" i="7"/>
  <c r="E25" i="7"/>
  <c r="B24" i="7"/>
  <c r="B7" i="7"/>
  <c r="B25" i="7"/>
  <c r="C8" i="6"/>
  <c r="C36" i="7" s="1"/>
  <c r="D8" i="6"/>
  <c r="D36" i="7" s="1"/>
  <c r="B29" i="2"/>
  <c r="G22" i="11" l="1"/>
  <c r="F10" i="13" s="1"/>
  <c r="F6" i="13"/>
  <c r="F5" i="12"/>
  <c r="F10" i="14" s="1"/>
  <c r="I10" i="15"/>
  <c r="H30" i="11"/>
  <c r="H23" i="11"/>
  <c r="H8" i="11"/>
  <c r="K10" i="15" l="1"/>
  <c r="H29" i="11"/>
  <c r="G11" i="13" s="1"/>
  <c r="H22" i="11"/>
  <c r="G10" i="13" s="1"/>
  <c r="G6" i="13"/>
  <c r="G5" i="12"/>
  <c r="G10" i="14" s="1"/>
  <c r="J10" i="15"/>
  <c r="I30" i="11"/>
  <c r="G16" i="11"/>
  <c r="G15" i="11" s="1"/>
  <c r="J9" i="11"/>
  <c r="I8" i="11"/>
  <c r="I22" i="11" s="1"/>
  <c r="H10" i="13" s="1"/>
  <c r="I29" i="11" l="1"/>
  <c r="H11" i="13" s="1"/>
  <c r="L10" i="15"/>
  <c r="F7" i="13"/>
  <c r="F8" i="13" s="1"/>
  <c r="F12" i="13" s="1"/>
  <c r="F11" i="12"/>
  <c r="F12" i="14" s="1"/>
  <c r="F8" i="12"/>
  <c r="F11" i="14" s="1"/>
  <c r="H6" i="13"/>
  <c r="H5" i="12"/>
  <c r="H10" i="14" s="1"/>
  <c r="J30" i="11"/>
  <c r="J23" i="11"/>
  <c r="H16" i="11"/>
  <c r="H15" i="11" s="1"/>
  <c r="J8" i="11"/>
  <c r="K9" i="11" l="1"/>
  <c r="K8" i="11" s="1"/>
  <c r="J29" i="11"/>
  <c r="I11" i="13" s="1"/>
  <c r="J22" i="11"/>
  <c r="I10" i="13" s="1"/>
  <c r="M10" i="15"/>
  <c r="K30" i="11"/>
  <c r="K23" i="11"/>
  <c r="F13" i="14"/>
  <c r="F14" i="14" s="1"/>
  <c r="F11" i="15" s="1"/>
  <c r="G11" i="12"/>
  <c r="G12" i="14" s="1"/>
  <c r="G8" i="12"/>
  <c r="G11" i="14" s="1"/>
  <c r="G7" i="13"/>
  <c r="G8" i="13" s="1"/>
  <c r="G12" i="13" s="1"/>
  <c r="I6" i="13"/>
  <c r="I5" i="12"/>
  <c r="I10" i="14" s="1"/>
  <c r="I16" i="11"/>
  <c r="I15" i="11" s="1"/>
  <c r="L9" i="11" l="1"/>
  <c r="L8" i="11" s="1"/>
  <c r="K29" i="11"/>
  <c r="J11" i="13" s="1"/>
  <c r="K22" i="11"/>
  <c r="J10" i="13" s="1"/>
  <c r="L30" i="11"/>
  <c r="L23" i="11"/>
  <c r="G13" i="14"/>
  <c r="G14" i="14" s="1"/>
  <c r="G11" i="15" s="1"/>
  <c r="H11" i="12"/>
  <c r="H12" i="14" s="1"/>
  <c r="H8" i="12"/>
  <c r="H11" i="14" s="1"/>
  <c r="H7" i="13"/>
  <c r="H8" i="13" s="1"/>
  <c r="H12" i="13" s="1"/>
  <c r="J6" i="13"/>
  <c r="J5" i="12"/>
  <c r="J10" i="14" s="1"/>
  <c r="J16" i="11"/>
  <c r="J15" i="11" s="1"/>
  <c r="F16" i="12"/>
  <c r="L22" i="11" l="1"/>
  <c r="K10" i="13" s="1"/>
  <c r="L29" i="11"/>
  <c r="K11" i="13" s="1"/>
  <c r="K6" i="13"/>
  <c r="K5" i="12"/>
  <c r="K10" i="14" s="1"/>
  <c r="M9" i="11"/>
  <c r="M8" i="11" s="1"/>
  <c r="N9" i="11"/>
  <c r="G16" i="12"/>
  <c r="G36" i="11"/>
  <c r="F14" i="13" s="1"/>
  <c r="F5" i="14"/>
  <c r="K16" i="11"/>
  <c r="K15" i="11" s="1"/>
  <c r="N30" i="11"/>
  <c r="M30" i="11"/>
  <c r="M23" i="11"/>
  <c r="N23" i="11"/>
  <c r="H13" i="14"/>
  <c r="H14" i="14" s="1"/>
  <c r="H11" i="15" s="1"/>
  <c r="I11" i="12"/>
  <c r="I12" i="14" s="1"/>
  <c r="I8" i="12"/>
  <c r="I11" i="14" s="1"/>
  <c r="I7" i="13"/>
  <c r="I8" i="13" s="1"/>
  <c r="I12" i="13" s="1"/>
  <c r="M29" i="11" l="1"/>
  <c r="L11" i="13" s="1"/>
  <c r="M22" i="11"/>
  <c r="L10" i="13" s="1"/>
  <c r="L6" i="13"/>
  <c r="L5" i="12"/>
  <c r="L10" i="14" s="1"/>
  <c r="N8" i="11"/>
  <c r="H36" i="11"/>
  <c r="G14" i="13" s="1"/>
  <c r="G5" i="14"/>
  <c r="H16" i="12"/>
  <c r="F15" i="13"/>
  <c r="F6" i="14"/>
  <c r="F8" i="14" s="1"/>
  <c r="F8" i="15"/>
  <c r="L15" i="11"/>
  <c r="J7" i="13"/>
  <c r="J8" i="13" s="1"/>
  <c r="J12" i="13" s="1"/>
  <c r="J8" i="12"/>
  <c r="J11" i="14" s="1"/>
  <c r="J11" i="12"/>
  <c r="J12" i="14" s="1"/>
  <c r="I13" i="14"/>
  <c r="I14" i="14" s="1"/>
  <c r="I11" i="15" s="1"/>
  <c r="F17" i="13" l="1"/>
  <c r="F20" i="13" s="1"/>
  <c r="M6" i="13"/>
  <c r="N29" i="11"/>
  <c r="M11" i="13" s="1"/>
  <c r="N22" i="11"/>
  <c r="M10" i="13" s="1"/>
  <c r="M5" i="12"/>
  <c r="M10" i="14" s="1"/>
  <c r="G15" i="13"/>
  <c r="G8" i="15"/>
  <c r="G6" i="14"/>
  <c r="G8" i="14" s="1"/>
  <c r="I36" i="11"/>
  <c r="H14" i="13" s="1"/>
  <c r="H5" i="14"/>
  <c r="I16" i="12"/>
  <c r="M16" i="11"/>
  <c r="M15" i="11" s="1"/>
  <c r="N16" i="11"/>
  <c r="K8" i="12"/>
  <c r="K11" i="14" s="1"/>
  <c r="K7" i="13"/>
  <c r="K8" i="13" s="1"/>
  <c r="K12" i="13" s="1"/>
  <c r="K11" i="12"/>
  <c r="K12" i="14" s="1"/>
  <c r="J13" i="14"/>
  <c r="J14" i="14" s="1"/>
  <c r="J11" i="15" s="1"/>
  <c r="F7" i="15" l="1"/>
  <c r="F9" i="15" s="1"/>
  <c r="F12" i="15" s="1"/>
  <c r="F8" i="18" s="1"/>
  <c r="F10" i="18" s="1"/>
  <c r="G17" i="13"/>
  <c r="G20" i="13" s="1"/>
  <c r="H15" i="13"/>
  <c r="H8" i="15"/>
  <c r="H6" i="14"/>
  <c r="H8" i="14" s="1"/>
  <c r="J36" i="11"/>
  <c r="I14" i="13" s="1"/>
  <c r="I5" i="14"/>
  <c r="J16" i="12"/>
  <c r="L11" i="12"/>
  <c r="L12" i="14" s="1"/>
  <c r="L8" i="12"/>
  <c r="L11" i="14" s="1"/>
  <c r="L7" i="13"/>
  <c r="L8" i="13" s="1"/>
  <c r="L12" i="13" s="1"/>
  <c r="N15" i="11"/>
  <c r="K13" i="14"/>
  <c r="K14" i="14" s="1"/>
  <c r="K11" i="15" s="1"/>
  <c r="G7" i="15" l="1"/>
  <c r="G9" i="15" s="1"/>
  <c r="G12" i="15" s="1"/>
  <c r="G8" i="18" s="1"/>
  <c r="G10" i="18" s="1"/>
  <c r="H17" i="13"/>
  <c r="H20" i="13" s="1"/>
  <c r="I15" i="13"/>
  <c r="I8" i="15"/>
  <c r="I6" i="14"/>
  <c r="I8" i="14" s="1"/>
  <c r="K16" i="12"/>
  <c r="J5" i="14"/>
  <c r="K36" i="11"/>
  <c r="J14" i="13" s="1"/>
  <c r="M8" i="12"/>
  <c r="M11" i="14" s="1"/>
  <c r="M11" i="12"/>
  <c r="M12" i="14" s="1"/>
  <c r="M7" i="13"/>
  <c r="M8" i="13" s="1"/>
  <c r="M12" i="13" s="1"/>
  <c r="L13" i="14"/>
  <c r="L14" i="14" s="1"/>
  <c r="L11" i="15" s="1"/>
  <c r="H7" i="15" l="1"/>
  <c r="H9" i="15" s="1"/>
  <c r="H12" i="15" s="1"/>
  <c r="H8" i="18" s="1"/>
  <c r="H10" i="18" s="1"/>
  <c r="I17" i="13"/>
  <c r="I20" i="13" s="1"/>
  <c r="L36" i="11"/>
  <c r="K14" i="13" s="1"/>
  <c r="K5" i="14"/>
  <c r="L16" i="12"/>
  <c r="J15" i="13"/>
  <c r="J8" i="15"/>
  <c r="J6" i="14"/>
  <c r="J8" i="14" s="1"/>
  <c r="M13" i="14"/>
  <c r="M14" i="14" s="1"/>
  <c r="M11" i="15" s="1"/>
  <c r="I7" i="15" l="1"/>
  <c r="I9" i="15" s="1"/>
  <c r="I12" i="15" s="1"/>
  <c r="I8" i="18" s="1"/>
  <c r="I10" i="18" s="1"/>
  <c r="J17" i="13"/>
  <c r="J20" i="13" s="1"/>
  <c r="K15" i="13"/>
  <c r="K8" i="15"/>
  <c r="K6" i="14"/>
  <c r="K8" i="14" s="1"/>
  <c r="M36" i="11"/>
  <c r="L14" i="13" s="1"/>
  <c r="L5" i="14"/>
  <c r="M16" i="12"/>
  <c r="J7" i="15" l="1"/>
  <c r="J9" i="15" s="1"/>
  <c r="J12" i="15" s="1"/>
  <c r="J8" i="18" s="1"/>
  <c r="J10" i="18" s="1"/>
  <c r="K17" i="13"/>
  <c r="K20" i="13" s="1"/>
  <c r="L15" i="13"/>
  <c r="L8" i="15"/>
  <c r="L6" i="14"/>
  <c r="L8" i="14" s="1"/>
  <c r="N36" i="11"/>
  <c r="M14" i="13" s="1"/>
  <c r="M5" i="14"/>
  <c r="K7" i="15" l="1"/>
  <c r="K9" i="15" s="1"/>
  <c r="K12" i="15" s="1"/>
  <c r="K8" i="18" s="1"/>
  <c r="K10" i="18" s="1"/>
  <c r="L17" i="13"/>
  <c r="L20" i="13" s="1"/>
  <c r="M15" i="13"/>
  <c r="M6" i="14"/>
  <c r="M8" i="14" s="1"/>
  <c r="M8" i="15"/>
  <c r="L7" i="15" l="1"/>
  <c r="L9" i="15" s="1"/>
  <c r="L12" i="15" s="1"/>
  <c r="L8" i="18" s="1"/>
  <c r="L10" i="18" s="1"/>
  <c r="M17" i="13"/>
  <c r="M20" i="13" s="1"/>
  <c r="M7" i="15" l="1"/>
  <c r="M9" i="15" s="1"/>
  <c r="M12" i="15" s="1"/>
  <c r="C3" i="15" l="1"/>
  <c r="M8" i="18"/>
  <c r="M10" i="18" l="1"/>
  <c r="B12" i="18" s="1"/>
  <c r="B13" i="18"/>
  <c r="B14" i="18" s="1"/>
  <c r="B15" i="18" l="1"/>
  <c r="C14" i="18" l="1"/>
  <c r="C12" i="18"/>
  <c r="B29" i="18"/>
  <c r="B32" i="18" s="1"/>
  <c r="B4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<sst xmlns="http://schemas.openxmlformats.org/spreadsheetml/2006/main" count="435" uniqueCount="228">
  <si>
    <t>Categories</t>
  </si>
  <si>
    <t>Key products</t>
  </si>
  <si>
    <t>Food</t>
  </si>
  <si>
    <t>Non Foods (FMCG)</t>
  </si>
  <si>
    <t>General Merchandise &amp; Apparel</t>
  </si>
  <si>
    <t>Groceries, staples, dairy</t>
  </si>
  <si>
    <t>Home care products, personal care products</t>
  </si>
  <si>
    <t>Bed &amp; bath, toys &amp; games, crockery, plastic goods, garments</t>
  </si>
  <si>
    <t>Revenue contribution in 2022-23 (percent)</t>
  </si>
  <si>
    <t>Revenue contribution in 2023-24 (percent)</t>
  </si>
  <si>
    <t>Revenue contribution in 2024-25 (percent)</t>
  </si>
  <si>
    <t>Revenue contribution in 2025-26 (percent)</t>
  </si>
  <si>
    <t>Revenue contribution in 2022-23 (figures)</t>
  </si>
  <si>
    <t>Revenue contribution in 2023-24 (Figures)</t>
  </si>
  <si>
    <t>Revenue contribution in 2024-25 (Figures)</t>
  </si>
  <si>
    <t>Revenue contribution in 2025-26 (Figures)</t>
  </si>
  <si>
    <t>Balance Sheet</t>
  </si>
  <si>
    <t>Particulars</t>
  </si>
  <si>
    <t>Assets</t>
  </si>
  <si>
    <t>Non-current assets</t>
  </si>
  <si>
    <t>Property, plant and equipment</t>
  </si>
  <si>
    <t>Capital work-in-progress</t>
  </si>
  <si>
    <t>Right -of- use assets</t>
  </si>
  <si>
    <t>Investment properties</t>
  </si>
  <si>
    <t>Goodwill</t>
  </si>
  <si>
    <t>Intangible assets</t>
  </si>
  <si>
    <t>Financial assets</t>
  </si>
  <si>
    <t>Income tax assets (net)</t>
  </si>
  <si>
    <t>Deferred tax assets (net)</t>
  </si>
  <si>
    <t>Other non-current assets</t>
  </si>
  <si>
    <t>FY22-23</t>
  </si>
  <si>
    <t>FY23-24</t>
  </si>
  <si>
    <t>Current Assets</t>
  </si>
  <si>
    <t>Inventories</t>
  </si>
  <si>
    <t>Financial Assets</t>
  </si>
  <si>
    <t xml:space="preserve">  Trade receivables</t>
  </si>
  <si>
    <t xml:space="preserve">  Bank balances other than cash and cash equivalents</t>
  </si>
  <si>
    <t xml:space="preserve">  Cash and cash equivalents</t>
  </si>
  <si>
    <t xml:space="preserve">  Other current financial assets</t>
  </si>
  <si>
    <t xml:space="preserve">  Investments</t>
  </si>
  <si>
    <t>Other current assets</t>
  </si>
  <si>
    <t>Total Non-Current Asset</t>
  </si>
  <si>
    <t>Total current assets</t>
  </si>
  <si>
    <t>Total Assets</t>
  </si>
  <si>
    <t>Equity share capital</t>
  </si>
  <si>
    <t>Other equity</t>
  </si>
  <si>
    <t>Non-controlling interest</t>
  </si>
  <si>
    <t>Non-current liabilities</t>
  </si>
  <si>
    <t>Lease liability</t>
  </si>
  <si>
    <t>Other non-current financial liabilities</t>
  </si>
  <si>
    <t>Provisions</t>
  </si>
  <si>
    <t>Deferred tax liabilities (net)</t>
  </si>
  <si>
    <t>Current liabilities</t>
  </si>
  <si>
    <t>Trade payables – Micro &amp; small enterprises</t>
  </si>
  <si>
    <t>Trade payables – Other than micro &amp; small</t>
  </si>
  <si>
    <t>Other current financial liabilities</t>
  </si>
  <si>
    <t>Other current liabilities</t>
  </si>
  <si>
    <t>Current tax liabilities (Net)</t>
  </si>
  <si>
    <t>Total Current Liabilities</t>
  </si>
  <si>
    <t>Total Non-current liabilities</t>
  </si>
  <si>
    <t>Total liabilites</t>
  </si>
  <si>
    <t>Liabilites</t>
  </si>
  <si>
    <t>Other non-current financial assets</t>
  </si>
  <si>
    <t>FY24-25</t>
  </si>
  <si>
    <t>FY25-26</t>
  </si>
  <si>
    <t>Borrowings</t>
  </si>
  <si>
    <t>Balance Sheet Trend analysis</t>
  </si>
  <si>
    <t>Total Asset</t>
  </si>
  <si>
    <t>Income statement</t>
  </si>
  <si>
    <t>Revenue from operations</t>
  </si>
  <si>
    <t>Purchase of stock-in-trade</t>
  </si>
  <si>
    <t>Changes in inventories of stock-in-trade</t>
  </si>
  <si>
    <t>Employee benefits expenses</t>
  </si>
  <si>
    <t>Operating Expenses</t>
  </si>
  <si>
    <t>Other expenses</t>
  </si>
  <si>
    <t>Total Expenses</t>
  </si>
  <si>
    <t>EBITDA</t>
  </si>
  <si>
    <t>Depreciation and amortisation expenses</t>
  </si>
  <si>
    <t>EBIT</t>
  </si>
  <si>
    <t>Other income</t>
  </si>
  <si>
    <t>Finance costs</t>
  </si>
  <si>
    <t>Profit Before Tax</t>
  </si>
  <si>
    <t>Total Tax Expenses</t>
  </si>
  <si>
    <t>Profit after tax/ Net Profit</t>
  </si>
  <si>
    <t>Less: OCI loss after tax</t>
  </si>
  <si>
    <t>Total Comprehensive income</t>
  </si>
  <si>
    <t>Income Statement Trend Analysis</t>
  </si>
  <si>
    <t>Cash Flow</t>
  </si>
  <si>
    <t>Net cash flow from operating activites</t>
  </si>
  <si>
    <t>Capex</t>
  </si>
  <si>
    <t>Free cash flow (FCF)</t>
  </si>
  <si>
    <t>Ratio Analysis</t>
  </si>
  <si>
    <t>Sales growth %</t>
  </si>
  <si>
    <t>Liquidity</t>
  </si>
  <si>
    <t>Current Assest</t>
  </si>
  <si>
    <t>Current Liabilities</t>
  </si>
  <si>
    <t>Current Ratio</t>
  </si>
  <si>
    <t>Profitability</t>
  </si>
  <si>
    <t>EBITDA Margin</t>
  </si>
  <si>
    <t>ROE</t>
  </si>
  <si>
    <t>Net profit/ Net sales</t>
  </si>
  <si>
    <t>Net sales / Total Asset</t>
  </si>
  <si>
    <t>Net Sales</t>
  </si>
  <si>
    <t>Total Asset/Shareholders Equity</t>
  </si>
  <si>
    <t>Debt/Equity (Capital structure)</t>
  </si>
  <si>
    <t>Gross profit</t>
  </si>
  <si>
    <t>Gross profit margin</t>
  </si>
  <si>
    <t>Net profit margin</t>
  </si>
  <si>
    <t>Efficency Ratios</t>
  </si>
  <si>
    <t>Inventory Turnover</t>
  </si>
  <si>
    <t>Ideal is 8 to 10+</t>
  </si>
  <si>
    <t>Cash flow ratios</t>
  </si>
  <si>
    <t>Free cash flow margins</t>
  </si>
  <si>
    <t>Cash conversion ratio</t>
  </si>
  <si>
    <t>Capex to sales ( track store expansion intensity)</t>
  </si>
  <si>
    <t>Revenue CAGR</t>
  </si>
  <si>
    <t>Revenue</t>
  </si>
  <si>
    <t>Net profit</t>
  </si>
  <si>
    <t>Stores</t>
  </si>
  <si>
    <t>Revenue per store</t>
  </si>
  <si>
    <t>Revenue per store growth %</t>
  </si>
  <si>
    <t>EBIT (opearting profit)</t>
  </si>
  <si>
    <t>Operating Profit</t>
  </si>
  <si>
    <t>Net Op Profit</t>
  </si>
  <si>
    <t>Net Profit</t>
  </si>
  <si>
    <t>Operating Cash flow</t>
  </si>
  <si>
    <t>Asset Turnover</t>
  </si>
  <si>
    <t>Inventory Growth</t>
  </si>
  <si>
    <t>P&amp;L Assumptions</t>
  </si>
  <si>
    <t>Scenarios</t>
  </si>
  <si>
    <t>Selected Scenario</t>
  </si>
  <si>
    <t>Case A</t>
  </si>
  <si>
    <t>Optimistic</t>
  </si>
  <si>
    <t>Higher than historical average</t>
  </si>
  <si>
    <t>Case B</t>
  </si>
  <si>
    <t>Base</t>
  </si>
  <si>
    <t>Case C</t>
  </si>
  <si>
    <t xml:space="preserve">Worst </t>
  </si>
  <si>
    <t>Worse than historical average</t>
  </si>
  <si>
    <t>Forcast Years</t>
  </si>
  <si>
    <t>INR in Crore</t>
  </si>
  <si>
    <t>FY26-27</t>
  </si>
  <si>
    <t>FY27-28</t>
  </si>
  <si>
    <t>FY28-29</t>
  </si>
  <si>
    <t>FY30-31</t>
  </si>
  <si>
    <t>FY31-32</t>
  </si>
  <si>
    <t>Growth %</t>
  </si>
  <si>
    <t>Cost of material Consumed</t>
  </si>
  <si>
    <t>Case 1</t>
  </si>
  <si>
    <t>Case 2</t>
  </si>
  <si>
    <t>Case 3</t>
  </si>
  <si>
    <t>Tax</t>
  </si>
  <si>
    <t>Balance Sheet Assumptions</t>
  </si>
  <si>
    <t>INR crores</t>
  </si>
  <si>
    <t>Accounts Receivable</t>
  </si>
  <si>
    <t>DSO</t>
  </si>
  <si>
    <t>Accounts Payable</t>
  </si>
  <si>
    <t>DPO</t>
  </si>
  <si>
    <t>Inventory</t>
  </si>
  <si>
    <t>DIO</t>
  </si>
  <si>
    <t>CCC</t>
  </si>
  <si>
    <t>Property, Plant and Equipment</t>
  </si>
  <si>
    <t>% Sales</t>
  </si>
  <si>
    <t>P&amp;L</t>
  </si>
  <si>
    <t>INR in crores</t>
  </si>
  <si>
    <t>Net Revenue</t>
  </si>
  <si>
    <t>COGS</t>
  </si>
  <si>
    <t>Gross Margin</t>
  </si>
  <si>
    <t>D&amp;A</t>
  </si>
  <si>
    <t>Taxes</t>
  </si>
  <si>
    <t>NOPAT</t>
  </si>
  <si>
    <t xml:space="preserve">Depriciation and Amortization </t>
  </si>
  <si>
    <t>Ending PPE</t>
  </si>
  <si>
    <t>Accounts receivable</t>
  </si>
  <si>
    <t>Accounts Payble</t>
  </si>
  <si>
    <t>Working Capital</t>
  </si>
  <si>
    <t>Changes in working Capital</t>
  </si>
  <si>
    <t>Net operating profit after taxes</t>
  </si>
  <si>
    <t>Add: D&amp;A</t>
  </si>
  <si>
    <t>Gross Cash Flow</t>
  </si>
  <si>
    <t>less Capex</t>
  </si>
  <si>
    <t>less investment in cashflow</t>
  </si>
  <si>
    <t>Total Equity to Capital</t>
  </si>
  <si>
    <t>Net Debt to Capital</t>
  </si>
  <si>
    <t>Key inputs:</t>
  </si>
  <si>
    <t>Calculations:</t>
  </si>
  <si>
    <t>Risk Free Rate</t>
  </si>
  <si>
    <t>Equity Beta</t>
  </si>
  <si>
    <t>Market Risk Premium</t>
  </si>
  <si>
    <t>Cost of Equity</t>
  </si>
  <si>
    <t>Pre-tax cost of debt</t>
  </si>
  <si>
    <t>Marginal Tax Rate</t>
  </si>
  <si>
    <t>Cost of Debt</t>
  </si>
  <si>
    <t>Weighted Cost of Equity</t>
  </si>
  <si>
    <t>Weighted Cost of Debt</t>
  </si>
  <si>
    <t>Weighted Average Cost of Capital</t>
  </si>
  <si>
    <t>Market Cap</t>
  </si>
  <si>
    <t>Debt</t>
  </si>
  <si>
    <t>DCF Valuation</t>
  </si>
  <si>
    <t>WACC</t>
  </si>
  <si>
    <t>Terminal growth</t>
  </si>
  <si>
    <t>Net Cash Flow (free cash flow)</t>
  </si>
  <si>
    <t>Forcast</t>
  </si>
  <si>
    <t>FY32-33</t>
  </si>
  <si>
    <t>FY29-30</t>
  </si>
  <si>
    <t>FY33-34</t>
  </si>
  <si>
    <t>Forcast years</t>
  </si>
  <si>
    <t>% of total revenue</t>
  </si>
  <si>
    <t>% of PPE</t>
  </si>
  <si>
    <t>Terminal value</t>
  </si>
  <si>
    <t>Present value of terminal value</t>
  </si>
  <si>
    <t>INR  in crores</t>
  </si>
  <si>
    <t>Net cash flow (FCF)</t>
  </si>
  <si>
    <t>Discount Factor</t>
  </si>
  <si>
    <t>Present Value</t>
  </si>
  <si>
    <t>DCF Value</t>
  </si>
  <si>
    <t>Continuing value</t>
  </si>
  <si>
    <t>Present value of CV</t>
  </si>
  <si>
    <t>less</t>
  </si>
  <si>
    <t>add</t>
  </si>
  <si>
    <t>Equity Value</t>
  </si>
  <si>
    <t>Enterprise value</t>
  </si>
  <si>
    <t>Historical Pattern</t>
  </si>
  <si>
    <t>% of revenue</t>
  </si>
  <si>
    <t>shares outstanding</t>
  </si>
  <si>
    <t>per share value</t>
  </si>
  <si>
    <t>Sensitivity Table</t>
  </si>
  <si>
    <t>Terminal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</si>
</sst>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_(* #,##0.0_);_(* \(#,##0.0\);_(* &quot;-&quot;?_);@_)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3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rgb="FF00610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6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2"/>
      <color theme="3"/>
      <name val="Segoe UI"/>
      <family val="2"/>
    </font>
    <font>
      <b/>
      <sz val="14"/>
      <color theme="1"/>
      <name val="Aptos Narrow"/>
      <family val="2"/>
      <scheme val="minor"/>
    </font>
    <font>
      <sz val="14"/>
      <color theme="3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sz val="14"/>
      <color theme="3" tint="9.9978637043366805E-2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3" tint="9.9978637043366805E-2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3F3F3F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</borders>
  <cellStyleXfs count="10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6" borderId="0" applyNumberFormat="0" applyBorder="0" applyAlignment="0" applyProtection="0"/>
    <xf numFmtId="0" fontId="1" fillId="0" borderId="0"/>
    <xf numFmtId="0" fontId="33" fillId="15" borderId="38" applyNumberFormat="0" applyAlignment="0" applyProtection="0"/>
    <xf numFmtId="0" fontId="34" fillId="16" borderId="39" applyNumberFormat="0" applyAlignment="0" applyProtection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4" fontId="0" fillId="0" borderId="0" xfId="0" applyNumberFormat="1"/>
    <xf numFmtId="0" fontId="3" fillId="2" borderId="0" xfId="1"/>
    <xf numFmtId="4" fontId="3" fillId="2" borderId="0" xfId="1" applyNumberFormat="1"/>
    <xf numFmtId="0" fontId="1" fillId="3" borderId="0" xfId="2"/>
    <xf numFmtId="4" fontId="1" fillId="3" borderId="0" xfId="2" applyNumberFormat="1"/>
    <xf numFmtId="0" fontId="1" fillId="5" borderId="0" xfId="4"/>
    <xf numFmtId="4" fontId="1" fillId="5" borderId="0" xfId="4" applyNumberFormat="1"/>
    <xf numFmtId="0" fontId="1" fillId="4" borderId="0" xfId="3"/>
    <xf numFmtId="4" fontId="1" fillId="4" borderId="0" xfId="3" applyNumberFormat="1"/>
    <xf numFmtId="4" fontId="2" fillId="0" borderId="0" xfId="0" applyNumberFormat="1" applyFont="1"/>
    <xf numFmtId="0" fontId="10" fillId="0" borderId="0" xfId="0" applyFont="1"/>
    <xf numFmtId="10" fontId="0" fillId="0" borderId="0" xfId="0" applyNumberFormat="1"/>
    <xf numFmtId="10" fontId="3" fillId="2" borderId="0" xfId="1" applyNumberFormat="1"/>
    <xf numFmtId="0" fontId="9" fillId="6" borderId="0" xfId="5"/>
    <xf numFmtId="10" fontId="9" fillId="6" borderId="0" xfId="5" applyNumberFormat="1"/>
    <xf numFmtId="10" fontId="1" fillId="5" borderId="0" xfId="4" applyNumberFormat="1"/>
    <xf numFmtId="10" fontId="1" fillId="4" borderId="0" xfId="3" applyNumberFormat="1"/>
    <xf numFmtId="0" fontId="2" fillId="0" borderId="0" xfId="0" applyFont="1" applyAlignment="1">
      <alignment horizontal="center"/>
    </xf>
    <xf numFmtId="164" fontId="0" fillId="0" borderId="0" xfId="0" applyNumberFormat="1"/>
    <xf numFmtId="0" fontId="12" fillId="0" borderId="0" xfId="0" applyFont="1"/>
    <xf numFmtId="0" fontId="13" fillId="6" borderId="0" xfId="5" applyFont="1"/>
    <xf numFmtId="4" fontId="9" fillId="6" borderId="0" xfId="5" applyNumberFormat="1"/>
    <xf numFmtId="164" fontId="2" fillId="0" borderId="0" xfId="0" applyNumberFormat="1" applyFont="1"/>
    <xf numFmtId="0" fontId="14" fillId="0" borderId="0" xfId="0" applyFont="1"/>
    <xf numFmtId="164" fontId="14" fillId="0" borderId="0" xfId="0" applyNumberFormat="1" applyFont="1"/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5" fillId="3" borderId="0" xfId="2" applyFont="1"/>
    <xf numFmtId="164" fontId="3" fillId="2" borderId="0" xfId="1" applyNumberFormat="1"/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1" xfId="0" applyBorder="1"/>
    <xf numFmtId="10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3" xfId="0" applyBorder="1"/>
    <xf numFmtId="2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2" fontId="0" fillId="0" borderId="15" xfId="0" applyNumberForma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10" fontId="0" fillId="0" borderId="0" xfId="0" applyNumberFormat="1" applyAlignment="1">
      <alignment horizontal="center"/>
    </xf>
    <xf numFmtId="0" fontId="0" fillId="0" borderId="14" xfId="0" applyBorder="1"/>
    <xf numFmtId="0" fontId="0" fillId="0" borderId="15" xfId="0" applyBorder="1"/>
    <xf numFmtId="10" fontId="0" fillId="0" borderId="2" xfId="0" applyNumberFormat="1" applyBorder="1"/>
    <xf numFmtId="10" fontId="0" fillId="0" borderId="3" xfId="0" applyNumberFormat="1" applyBorder="1" applyAlignment="1">
      <alignment horizontal="center"/>
    </xf>
    <xf numFmtId="10" fontId="0" fillId="0" borderId="4" xfId="0" applyNumberFormat="1" applyBorder="1"/>
    <xf numFmtId="0" fontId="18" fillId="7" borderId="0" xfId="0" applyFont="1" applyFill="1" applyAlignment="1">
      <alignment horizontal="center"/>
    </xf>
    <xf numFmtId="0" fontId="0" fillId="0" borderId="16" xfId="0" applyBorder="1"/>
    <xf numFmtId="165" fontId="19" fillId="8" borderId="16" xfId="6" applyNumberFormat="1" applyFont="1" applyFill="1" applyBorder="1"/>
    <xf numFmtId="165" fontId="14" fillId="8" borderId="16" xfId="6" applyNumberFormat="1" applyFont="1" applyFill="1" applyBorder="1"/>
    <xf numFmtId="165" fontId="14" fillId="8" borderId="0" xfId="6" applyNumberFormat="1" applyFont="1" applyFill="1"/>
    <xf numFmtId="0" fontId="0" fillId="10" borderId="0" xfId="0" applyFill="1"/>
    <xf numFmtId="0" fontId="10" fillId="0" borderId="0" xfId="0" applyFont="1" applyAlignment="1">
      <alignment horizontal="center"/>
    </xf>
    <xf numFmtId="165" fontId="20" fillId="8" borderId="24" xfId="6" applyNumberFormat="1" applyFont="1" applyFill="1" applyBorder="1"/>
    <xf numFmtId="165" fontId="20" fillId="8" borderId="23" xfId="6" applyNumberFormat="1" applyFont="1" applyFill="1" applyBorder="1"/>
    <xf numFmtId="165" fontId="21" fillId="8" borderId="22" xfId="6" applyNumberFormat="1" applyFont="1" applyFill="1" applyBorder="1"/>
    <xf numFmtId="2" fontId="17" fillId="0" borderId="0" xfId="0" applyNumberFormat="1" applyFont="1"/>
    <xf numFmtId="4" fontId="17" fillId="0" borderId="0" xfId="0" applyNumberFormat="1" applyFont="1"/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7" fillId="10" borderId="0" xfId="0" applyFont="1" applyFill="1"/>
    <xf numFmtId="2" fontId="17" fillId="10" borderId="0" xfId="0" applyNumberFormat="1" applyFont="1" applyFill="1"/>
    <xf numFmtId="10" fontId="17" fillId="0" borderId="0" xfId="0" applyNumberFormat="1" applyFont="1"/>
    <xf numFmtId="10" fontId="17" fillId="10" borderId="0" xfId="0" applyNumberFormat="1" applyFont="1" applyFill="1"/>
    <xf numFmtId="0" fontId="22" fillId="0" borderId="25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3" fillId="0" borderId="26" xfId="0" applyFont="1" applyBorder="1"/>
    <xf numFmtId="0" fontId="6" fillId="0" borderId="21" xfId="0" applyFont="1" applyBorder="1"/>
    <xf numFmtId="0" fontId="6" fillId="10" borderId="21" xfId="0" applyFont="1" applyFill="1" applyBorder="1"/>
    <xf numFmtId="0" fontId="17" fillId="0" borderId="0" xfId="0" applyFont="1" applyAlignment="1">
      <alignment horizontal="center"/>
    </xf>
    <xf numFmtId="9" fontId="17" fillId="0" borderId="0" xfId="0" applyNumberFormat="1" applyFont="1"/>
    <xf numFmtId="10" fontId="17" fillId="0" borderId="0" xfId="0" applyNumberFormat="1" applyFont="1" applyAlignment="1">
      <alignment horizontal="center"/>
    </xf>
    <xf numFmtId="9" fontId="17" fillId="10" borderId="0" xfId="0" applyNumberFormat="1" applyFont="1" applyFill="1"/>
    <xf numFmtId="164" fontId="17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/>
    </xf>
    <xf numFmtId="2" fontId="10" fillId="0" borderId="0" xfId="0" applyNumberFormat="1" applyFont="1"/>
    <xf numFmtId="0" fontId="24" fillId="0" borderId="30" xfId="0" applyFont="1" applyBorder="1"/>
    <xf numFmtId="0" fontId="25" fillId="0" borderId="30" xfId="0" applyFont="1" applyBorder="1"/>
    <xf numFmtId="2" fontId="10" fillId="10" borderId="0" xfId="0" applyNumberFormat="1" applyFont="1" applyFill="1"/>
    <xf numFmtId="2" fontId="10" fillId="0" borderId="30" xfId="0" applyNumberFormat="1" applyFont="1" applyBorder="1"/>
    <xf numFmtId="0" fontId="23" fillId="0" borderId="30" xfId="0" applyFont="1" applyBorder="1"/>
    <xf numFmtId="10" fontId="10" fillId="0" borderId="0" xfId="0" applyNumberFormat="1" applyFont="1"/>
    <xf numFmtId="2" fontId="25" fillId="0" borderId="30" xfId="0" applyNumberFormat="1" applyFont="1" applyBorder="1"/>
    <xf numFmtId="0" fontId="10" fillId="10" borderId="0" xfId="0" applyFont="1" applyFill="1"/>
    <xf numFmtId="0" fontId="25" fillId="10" borderId="30" xfId="0" applyFont="1" applyFill="1" applyBorder="1"/>
    <xf numFmtId="2" fontId="25" fillId="10" borderId="30" xfId="0" applyNumberFormat="1" applyFont="1" applyFill="1" applyBorder="1"/>
    <xf numFmtId="2" fontId="24" fillId="10" borderId="30" xfId="0" applyNumberFormat="1" applyFont="1" applyFill="1" applyBorder="1"/>
    <xf numFmtId="2" fontId="10" fillId="10" borderId="30" xfId="0" applyNumberFormat="1" applyFont="1" applyFill="1" applyBorder="1"/>
    <xf numFmtId="2" fontId="10" fillId="10" borderId="0" xfId="6" applyNumberFormat="1" applyFont="1" applyFill="1"/>
    <xf numFmtId="10" fontId="10" fillId="10" borderId="0" xfId="0" applyNumberFormat="1" applyFont="1" applyFill="1"/>
    <xf numFmtId="0" fontId="27" fillId="0" borderId="0" xfId="0" applyFont="1"/>
    <xf numFmtId="2" fontId="27" fillId="0" borderId="19" xfId="0" applyNumberFormat="1" applyFont="1" applyBorder="1"/>
    <xf numFmtId="2" fontId="27" fillId="10" borderId="19" xfId="0" applyNumberFormat="1" applyFont="1" applyFill="1" applyBorder="1"/>
    <xf numFmtId="0" fontId="26" fillId="12" borderId="18" xfId="0" applyFont="1" applyFill="1" applyBorder="1"/>
    <xf numFmtId="0" fontId="0" fillId="0" borderId="30" xfId="0" applyBorder="1"/>
    <xf numFmtId="2" fontId="23" fillId="0" borderId="30" xfId="0" applyNumberFormat="1" applyFont="1" applyBorder="1"/>
    <xf numFmtId="0" fontId="26" fillId="0" borderId="30" xfId="0" applyFont="1" applyBorder="1"/>
    <xf numFmtId="2" fontId="26" fillId="0" borderId="30" xfId="0" applyNumberFormat="1" applyFont="1" applyBorder="1"/>
    <xf numFmtId="0" fontId="28" fillId="0" borderId="30" xfId="0" applyFont="1" applyBorder="1"/>
    <xf numFmtId="0" fontId="29" fillId="0" borderId="0" xfId="0" applyFont="1"/>
    <xf numFmtId="2" fontId="29" fillId="0" borderId="0" xfId="0" applyNumberFormat="1" applyFont="1"/>
    <xf numFmtId="0" fontId="30" fillId="12" borderId="0" xfId="0" applyFont="1" applyFill="1"/>
    <xf numFmtId="2" fontId="30" fillId="12" borderId="0" xfId="0" applyNumberFormat="1" applyFont="1" applyFill="1"/>
    <xf numFmtId="0" fontId="28" fillId="12" borderId="0" xfId="0" applyFont="1" applyFill="1"/>
    <xf numFmtId="0" fontId="31" fillId="0" borderId="30" xfId="0" applyFont="1" applyBorder="1"/>
    <xf numFmtId="0" fontId="29" fillId="13" borderId="0" xfId="0" applyFont="1" applyFill="1"/>
    <xf numFmtId="0" fontId="0" fillId="13" borderId="0" xfId="0" applyFill="1"/>
    <xf numFmtId="2" fontId="29" fillId="13" borderId="0" xfId="0" applyNumberFormat="1" applyFont="1" applyFill="1"/>
    <xf numFmtId="0" fontId="32" fillId="0" borderId="0" xfId="0" applyFont="1"/>
    <xf numFmtId="10" fontId="29" fillId="0" borderId="0" xfId="0" applyNumberFormat="1" applyFont="1"/>
    <xf numFmtId="14" fontId="0" fillId="0" borderId="0" xfId="0" applyNumberFormat="1"/>
    <xf numFmtId="0" fontId="32" fillId="0" borderId="18" xfId="0" applyFont="1" applyBorder="1"/>
    <xf numFmtId="10" fontId="29" fillId="0" borderId="20" xfId="0" applyNumberFormat="1" applyFont="1" applyBorder="1"/>
    <xf numFmtId="0" fontId="29" fillId="0" borderId="16" xfId="0" applyFont="1" applyBorder="1"/>
    <xf numFmtId="10" fontId="29" fillId="0" borderId="16" xfId="0" applyNumberFormat="1" applyFont="1" applyBorder="1"/>
    <xf numFmtId="9" fontId="29" fillId="0" borderId="0" xfId="0" applyNumberFormat="1" applyFont="1"/>
    <xf numFmtId="0" fontId="32" fillId="0" borderId="1" xfId="0" applyFont="1" applyBorder="1"/>
    <xf numFmtId="10" fontId="29" fillId="0" borderId="31" xfId="0" applyNumberFormat="1" applyFont="1" applyBorder="1"/>
    <xf numFmtId="0" fontId="32" fillId="0" borderId="31" xfId="0" applyFont="1" applyBorder="1"/>
    <xf numFmtId="2" fontId="23" fillId="10" borderId="30" xfId="0" applyNumberFormat="1" applyFont="1" applyFill="1" applyBorder="1"/>
    <xf numFmtId="2" fontId="26" fillId="10" borderId="30" xfId="0" applyNumberFormat="1" applyFont="1" applyFill="1" applyBorder="1"/>
    <xf numFmtId="0" fontId="6" fillId="10" borderId="18" xfId="0" applyFont="1" applyFill="1" applyBorder="1"/>
    <xf numFmtId="0" fontId="6" fillId="10" borderId="19" xfId="0" applyFont="1" applyFill="1" applyBorder="1"/>
    <xf numFmtId="0" fontId="6" fillId="10" borderId="20" xfId="0" applyFont="1" applyFill="1" applyBorder="1"/>
    <xf numFmtId="0" fontId="23" fillId="10" borderId="18" xfId="0" applyFont="1" applyFill="1" applyBorder="1"/>
    <xf numFmtId="0" fontId="23" fillId="10" borderId="19" xfId="0" applyFont="1" applyFill="1" applyBorder="1"/>
    <xf numFmtId="0" fontId="23" fillId="10" borderId="20" xfId="0" applyFont="1" applyFill="1" applyBorder="1"/>
    <xf numFmtId="0" fontId="29" fillId="0" borderId="0" xfId="6" applyFont="1"/>
    <xf numFmtId="0" fontId="32" fillId="10" borderId="18" xfId="6" applyFont="1" applyFill="1" applyBorder="1"/>
    <xf numFmtId="0" fontId="32" fillId="10" borderId="19" xfId="6" applyFont="1" applyFill="1" applyBorder="1"/>
    <xf numFmtId="0" fontId="32" fillId="10" borderId="20" xfId="6" applyFont="1" applyFill="1" applyBorder="1"/>
    <xf numFmtId="0" fontId="0" fillId="0" borderId="19" xfId="0" applyBorder="1"/>
    <xf numFmtId="0" fontId="23" fillId="10" borderId="16" xfId="0" applyFont="1" applyFill="1" applyBorder="1" applyAlignment="1">
      <alignment horizontal="center"/>
    </xf>
    <xf numFmtId="2" fontId="30" fillId="12" borderId="34" xfId="0" applyNumberFormat="1" applyFont="1" applyFill="1" applyBorder="1"/>
    <xf numFmtId="2" fontId="30" fillId="12" borderId="35" xfId="0" applyNumberFormat="1" applyFont="1" applyFill="1" applyBorder="1"/>
    <xf numFmtId="2" fontId="29" fillId="13" borderId="36" xfId="0" applyNumberFormat="1" applyFont="1" applyFill="1" applyBorder="1"/>
    <xf numFmtId="2" fontId="29" fillId="13" borderId="21" xfId="0" applyNumberFormat="1" applyFont="1" applyFill="1" applyBorder="1"/>
    <xf numFmtId="2" fontId="29" fillId="13" borderId="37" xfId="0" applyNumberFormat="1" applyFont="1" applyFill="1" applyBorder="1"/>
    <xf numFmtId="0" fontId="23" fillId="14" borderId="18" xfId="0" applyFont="1" applyFill="1" applyBorder="1"/>
    <xf numFmtId="0" fontId="23" fillId="14" borderId="19" xfId="0" applyFont="1" applyFill="1" applyBorder="1"/>
    <xf numFmtId="0" fontId="23" fillId="14" borderId="20" xfId="0" applyFont="1" applyFill="1" applyBorder="1"/>
    <xf numFmtId="2" fontId="29" fillId="14" borderId="32" xfId="0" applyNumberFormat="1" applyFont="1" applyFill="1" applyBorder="1"/>
    <xf numFmtId="2" fontId="29" fillId="14" borderId="30" xfId="0" applyNumberFormat="1" applyFont="1" applyFill="1" applyBorder="1"/>
    <xf numFmtId="2" fontId="29" fillId="14" borderId="33" xfId="0" applyNumberFormat="1" applyFont="1" applyFill="1" applyBorder="1"/>
    <xf numFmtId="2" fontId="29" fillId="14" borderId="34" xfId="0" applyNumberFormat="1" applyFont="1" applyFill="1" applyBorder="1"/>
    <xf numFmtId="2" fontId="29" fillId="14" borderId="0" xfId="0" applyNumberFormat="1" applyFont="1" applyFill="1"/>
    <xf numFmtId="2" fontId="29" fillId="14" borderId="35" xfId="0" applyNumberFormat="1" applyFont="1" applyFill="1" applyBorder="1"/>
    <xf numFmtId="2" fontId="17" fillId="0" borderId="19" xfId="0" applyNumberFormat="1" applyFont="1" applyBorder="1"/>
    <xf numFmtId="2" fontId="17" fillId="0" borderId="20" xfId="0" applyNumberFormat="1" applyFont="1" applyBorder="1"/>
    <xf numFmtId="0" fontId="34" fillId="17" borderId="39" xfId="8" applyFill="1"/>
    <xf numFmtId="2" fontId="17" fillId="14" borderId="0" xfId="0" applyNumberFormat="1" applyFont="1" applyFill="1"/>
    <xf numFmtId="0" fontId="32" fillId="0" borderId="16" xfId="0" applyFont="1" applyBorder="1"/>
    <xf numFmtId="0" fontId="32" fillId="0" borderId="7" xfId="0" applyFont="1" applyBorder="1"/>
    <xf numFmtId="2" fontId="29" fillId="0" borderId="9" xfId="0" applyNumberFormat="1" applyFont="1" applyBorder="1"/>
    <xf numFmtId="2" fontId="32" fillId="0" borderId="15" xfId="0" applyNumberFormat="1" applyFont="1" applyBorder="1"/>
    <xf numFmtId="0" fontId="17" fillId="0" borderId="18" xfId="0" applyFont="1" applyBorder="1"/>
    <xf numFmtId="0" fontId="17" fillId="0" borderId="20" xfId="0" applyFont="1" applyBorder="1"/>
    <xf numFmtId="0" fontId="35" fillId="15" borderId="38" xfId="7" applyFont="1"/>
    <xf numFmtId="2" fontId="35" fillId="15" borderId="38" xfId="7" applyNumberFormat="1" applyFont="1"/>
    <xf numFmtId="9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0" fontId="17" fillId="0" borderId="0" xfId="9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34" fillId="16" borderId="40" xfId="8" applyBorder="1"/>
    <xf numFmtId="10" fontId="2" fillId="0" borderId="16" xfId="6" applyNumberFormat="1" applyFont="1" applyBorder="1"/>
    <xf numFmtId="0" fontId="34" fillId="16" borderId="39" xfId="8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17" fillId="0" borderId="0" xfId="0" applyFont="1" applyAlignment="1">
      <alignment horizontal="center" wrapText="1"/>
    </xf>
    <xf numFmtId="0" fontId="0" fillId="9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6" borderId="21" xfId="5" applyBorder="1" applyAlignment="1">
      <alignment horizontal="center"/>
    </xf>
    <xf numFmtId="0" fontId="17" fillId="11" borderId="0" xfId="0" applyFont="1" applyFill="1" applyAlignment="1">
      <alignment horizontal="center"/>
    </xf>
    <xf numFmtId="0" fontId="13" fillId="6" borderId="21" xfId="5" applyFont="1" applyBorder="1" applyAlignment="1">
      <alignment horizontal="center"/>
    </xf>
  </cellXfs>
  <cellStyles count="10">
    <cellStyle name="20% - Accent2" xfId="3" builtinId="34"/>
    <cellStyle name="20% - Accent3" xfId="2" builtinId="38"/>
    <cellStyle name="40% - Accent2" xfId="4" builtinId="35"/>
    <cellStyle name="Accent3" xfId="1" builtinId="37"/>
    <cellStyle name="Check Cell" xfId="8" builtinId="23"/>
    <cellStyle name="Good" xfId="5" builtinId="26"/>
    <cellStyle name="Normal" xfId="0" builtinId="0"/>
    <cellStyle name="Normal 2" xfId="6" xr:uid="{DDCB2B10-5861-4400-8363-237CAA785269}"/>
    <cellStyle name="Output" xfId="7" builtinId="21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vs 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Data!$B$2:$B$5</c:f>
              <c:numCache>
                <c:formatCode>#,##0.00;\(#,##0.00\)</c:formatCode>
                <c:ptCount val="4"/>
                <c:pt idx="0" formatCode="General">
                  <c:v>42839.56</c:v>
                </c:pt>
                <c:pt idx="1">
                  <c:v>50788.83</c:v>
                </c:pt>
                <c:pt idx="2" formatCode="General">
                  <c:v>59358.05</c:v>
                </c:pt>
                <c:pt idx="3" formatCode="General">
                  <c:v>68820.740000000005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5-4B90-B9D8-76257AD784E0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Data!$C$2:$C$5</c:f>
              <c:numCache>
                <c:formatCode>#,##0.00</c:formatCode>
                <c:ptCount val="4"/>
                <c:pt idx="0" formatCode="General">
                  <c:v>2378.3399999999992</c:v>
                </c:pt>
                <c:pt idx="1">
                  <c:v>2526.7999999999961</c:v>
                </c:pt>
                <c:pt idx="2" formatCode="General">
                  <c:v>2698.6399999999944</c:v>
                </c:pt>
                <c:pt idx="3" formatCode="General">
                  <c:v>2964.3800000000033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55-4B90-B9D8-76257AD7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8145360"/>
        <c:axId val="1924577008"/>
      </c:barChart>
      <c:lineChart>
        <c:grouping val="standard"/>
        <c:varyColors val="0"/>
        <c:ser>
          <c:idx val="2"/>
          <c:order val="2"/>
          <c:tx>
            <c:strRef>
              <c:f>Data!$D$1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Data!$A$2:$A$5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Data!$D$2:$D$5</c:f>
              <c:numCache>
                <c:formatCode>0.00%</c:formatCode>
                <c:ptCount val="4"/>
                <c:pt idx="0">
                  <c:v>5.5517376929174793E-2</c:v>
                </c:pt>
                <c:pt idx="1">
                  <c:v>4.975109684550709E-2</c:v>
                </c:pt>
                <c:pt idx="2">
                  <c:v>4.5463757653763801E-2</c:v>
                </c:pt>
                <c:pt idx="3">
                  <c:v>4.3073933817044149E-2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5-4B90-B9D8-76257AD7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157424"/>
        <c:axId val="1924574128"/>
      </c:lineChart>
      <c:catAx>
        <c:axId val="206814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77008"/>
        <c:crosses val="autoZero"/>
        <c:auto val="1"/>
        <c:lblAlgn val="ctr"/>
        <c:lblOffset val="100"/>
        <c:noMultiLvlLbl val="0"/>
      </c:catAx>
      <c:valAx>
        <c:axId val="1924577008"/>
        <c:scaling>
          <c:orientation val="minMax"/>
          <c:max val="72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145360"/>
        <c:crosses val="autoZero"/>
        <c:crossBetween val="between"/>
      </c:valAx>
      <c:valAx>
        <c:axId val="19245741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157424"/>
        <c:crosses val="max"/>
        <c:crossBetween val="between"/>
      </c:valAx>
      <c:catAx>
        <c:axId val="2068157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457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2700000" sx="101000" sy="101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/>
              <a:t>Revenue</a:t>
            </a:r>
            <a:r>
              <a:rPr lang="en-IN" sz="1400" baseline="0"/>
              <a:t> and revenue per store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Data!$F$2:$F$5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Data!$G$2:$G$5</c:f>
              <c:numCache>
                <c:formatCode>General</c:formatCode>
                <c:ptCount val="4"/>
                <c:pt idx="0">
                  <c:v>42839.56</c:v>
                </c:pt>
                <c:pt idx="1">
                  <c:v>50788.83</c:v>
                </c:pt>
                <c:pt idx="2">
                  <c:v>59358.05</c:v>
                </c:pt>
                <c:pt idx="3">
                  <c:v>68820.740000000005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1-491F-904B-8839024B9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964352"/>
        <c:axId val="1924665328"/>
      </c:barChart>
      <c:lineChart>
        <c:grouping val="standard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Stores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Data!$F$2:$F$5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Data!$H$2:$H$5</c:f>
              <c:numCache>
                <c:formatCode>General</c:formatCode>
                <c:ptCount val="4"/>
                <c:pt idx="0">
                  <c:v>324</c:v>
                </c:pt>
                <c:pt idx="1">
                  <c:v>365</c:v>
                </c:pt>
                <c:pt idx="2">
                  <c:v>415</c:v>
                </c:pt>
                <c:pt idx="3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1-491F-904B-8839024B9159}"/>
            </c:ext>
          </c:extLst>
        </c:ser>
        <c:ser>
          <c:idx val="2"/>
          <c:order val="2"/>
          <c:tx>
            <c:strRef>
              <c:f>Data!$I$1</c:f>
              <c:strCache>
                <c:ptCount val="1"/>
                <c:pt idx="0">
                  <c:v>Revenue per store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Data!$F$2:$F$5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Data!$I$2:$I$5</c:f>
              <c:numCache>
                <c:formatCode>0.00</c:formatCode>
                <c:ptCount val="4"/>
                <c:pt idx="0">
                  <c:v>132.22086419753086</c:v>
                </c:pt>
                <c:pt idx="1">
                  <c:v>139.1474794520548</c:v>
                </c:pt>
                <c:pt idx="2">
                  <c:v>143.03144578313254</c:v>
                </c:pt>
                <c:pt idx="3">
                  <c:v>137.64148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31-491F-904B-8839024B9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989408"/>
        <c:axId val="1924658128"/>
      </c:lineChart>
      <c:catAx>
        <c:axId val="207896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65328"/>
        <c:crosses val="autoZero"/>
        <c:auto val="1"/>
        <c:lblAlgn val="ctr"/>
        <c:lblOffset val="100"/>
        <c:noMultiLvlLbl val="0"/>
      </c:catAx>
      <c:valAx>
        <c:axId val="19246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64352"/>
        <c:crosses val="autoZero"/>
        <c:crossBetween val="between"/>
      </c:valAx>
      <c:valAx>
        <c:axId val="19246581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89408"/>
        <c:crosses val="max"/>
        <c:crossBetween val="between"/>
      </c:valAx>
      <c:catAx>
        <c:axId val="2078989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4658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5400000" sx="101000" sy="101000" algn="t" rotWithShape="0">
        <a:prstClr val="black">
          <a:alpha val="42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operating profit and 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Data!$C$8</c:f>
              <c:strCache>
                <c:ptCount val="1"/>
                <c:pt idx="0">
                  <c:v>Net Op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Data!$A$9:$A$12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Data!$C$9:$C$12</c:f>
              <c:numCache>
                <c:formatCode>0.00</c:formatCode>
                <c:ptCount val="4"/>
                <c:pt idx="0">
                  <c:v>2330.1699519999993</c:v>
                </c:pt>
                <c:pt idx="1">
                  <c:v>2471.0671259999976</c:v>
                </c:pt>
                <c:pt idx="2">
                  <c:v>2667.0495319999959</c:v>
                </c:pt>
                <c:pt idx="3">
                  <c:v>3019.2271320000027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0-42C3-A2D9-7E05AD80277D}"/>
            </c:ext>
          </c:extLst>
        </c:ser>
        <c:ser>
          <c:idx val="1"/>
          <c:order val="1"/>
          <c:tx>
            <c:strRef>
              <c:f>Data!$D$8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Data!$A$9:$A$12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Data!$D$9:$D$12</c:f>
              <c:numCache>
                <c:formatCode>General</c:formatCode>
                <c:ptCount val="4"/>
                <c:pt idx="0">
                  <c:v>2378.3399999999992</c:v>
                </c:pt>
                <c:pt idx="1">
                  <c:v>2526.7999999999961</c:v>
                </c:pt>
                <c:pt idx="2">
                  <c:v>2698.6399999999944</c:v>
                </c:pt>
                <c:pt idx="3">
                  <c:v>2964.3800000000033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0-42C3-A2D9-7E05AD80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1004704"/>
        <c:axId val="1924583248"/>
      </c:barChart>
      <c:catAx>
        <c:axId val="21210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83248"/>
        <c:crosses val="autoZero"/>
        <c:auto val="1"/>
        <c:lblAlgn val="ctr"/>
        <c:lblOffset val="100"/>
        <c:noMultiLvlLbl val="0"/>
      </c:catAx>
      <c:valAx>
        <c:axId val="1924583248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0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Earning</a:t>
            </a:r>
            <a:r>
              <a:rPr lang="en-IN" baseline="0"/>
              <a:t>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Data!$G$8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Data!$F$9:$F$12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Data!$G$9:$G$12</c:f>
              <c:numCache>
                <c:formatCode>General</c:formatCode>
                <c:ptCount val="4"/>
                <c:pt idx="0">
                  <c:v>2378.3399999999992</c:v>
                </c:pt>
                <c:pt idx="1">
                  <c:v>2526.7999999999961</c:v>
                </c:pt>
                <c:pt idx="2">
                  <c:v>2698.6399999999944</c:v>
                </c:pt>
                <c:pt idx="3">
                  <c:v>2964.3800000000033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A-4920-A9D4-17225955AAF7}"/>
            </c:ext>
          </c:extLst>
        </c:ser>
        <c:ser>
          <c:idx val="1"/>
          <c:order val="1"/>
          <c:tx>
            <c:strRef>
              <c:f>Data!$H$8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Data!$F$9:$F$12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Data!$H$9:$H$12</c:f>
              <c:numCache>
                <c:formatCode>0.00</c:formatCode>
                <c:ptCount val="4"/>
                <c:pt idx="0">
                  <c:v>2630.27</c:v>
                </c:pt>
                <c:pt idx="1">
                  <c:v>2745.84</c:v>
                </c:pt>
                <c:pt idx="2">
                  <c:v>2462.9699999999998</c:v>
                </c:pt>
                <c:pt idx="3">
                  <c:v>3466.74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A-4920-A9D4-17225955A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8980128"/>
        <c:axId val="1924604848"/>
      </c:barChart>
      <c:catAx>
        <c:axId val="207898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04848"/>
        <c:crosses val="autoZero"/>
        <c:auto val="1"/>
        <c:lblAlgn val="ctr"/>
        <c:lblOffset val="100"/>
        <c:noMultiLvlLbl val="0"/>
      </c:catAx>
      <c:valAx>
        <c:axId val="19246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Inventory</a:t>
            </a:r>
            <a:r>
              <a:rPr lang="en-IN" baseline="0"/>
              <a:t> Utilization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Data!$B$14</c:f>
              <c:strCache>
                <c:ptCount val="1"/>
                <c:pt idx="0">
                  <c:v>Sales growth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Data!$A$15:$A$18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Data!$B$15:$B$18</c:f>
              <c:numCache>
                <c:formatCode>0.00%</c:formatCode>
                <c:ptCount val="4"/>
                <c:pt idx="0">
                  <c:v>0.33972974333779382</c:v>
                </c:pt>
                <c:pt idx="1">
                  <c:v>0.18555909537819726</c:v>
                </c:pt>
                <c:pt idx="2">
                  <c:v>0.16872253210007004</c:v>
                </c:pt>
                <c:pt idx="3">
                  <c:v>0.15941713044818692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E-477F-8EB5-55CCA1467E2B}"/>
            </c:ext>
          </c:extLst>
        </c:ser>
        <c:ser>
          <c:idx val="1"/>
          <c:order val="1"/>
          <c:tx>
            <c:strRef>
              <c:f>Data!$C$14</c:f>
              <c:strCache>
                <c:ptCount val="1"/>
                <c:pt idx="0">
                  <c:v>Inventory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Data!$A$15:$A$18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Data!$C$15:$C$18</c:f>
              <c:numCache>
                <c:formatCode>0.00%</c:formatCode>
                <c:ptCount val="4"/>
                <c:pt idx="0">
                  <c:v>0.18260374964450576</c:v>
                </c:pt>
                <c:pt idx="1">
                  <c:v>0.21083219258327474</c:v>
                </c:pt>
                <c:pt idx="2">
                  <c:v>0.28443387458591246</c:v>
                </c:pt>
                <c:pt idx="3">
                  <c:v>0.16974765927162369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E-477F-8EB5-55CCA1467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684431"/>
        <c:axId val="1853840847"/>
      </c:barChart>
      <c:catAx>
        <c:axId val="187868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40847"/>
        <c:crosses val="autoZero"/>
        <c:auto val="1"/>
        <c:lblAlgn val="ctr"/>
        <c:lblOffset val="100"/>
        <c:noMultiLvlLbl val="0"/>
      </c:catAx>
      <c:valAx>
        <c:axId val="18538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8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121869</xdr:colOff>
      <xdr:row>16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54920B-BCF8-4F97-8631-D3193327E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455404</xdr:colOff>
      <xdr:row>0</xdr:row>
      <xdr:rowOff>25656</xdr:rowOff>
    </xdr:from>
    <xdr:to>
      <xdr:col>18</xdr:col>
      <xdr:colOff>557902</xdr:colOff>
      <xdr:row>16</xdr:row>
      <xdr:rowOff>159006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CF0E12-3652-4D01-9EC8-9BF7CF7C4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18</xdr:row>
      <xdr:rowOff>177800</xdr:rowOff>
    </xdr:from>
    <xdr:to>
      <xdr:col>9</xdr:col>
      <xdr:colOff>147525</xdr:colOff>
      <xdr:row>35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E4A1E3-1D31-49A4-8701-11842A405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481060</xdr:colOff>
      <xdr:row>18</xdr:row>
      <xdr:rowOff>115453</xdr:rowOff>
    </xdr:from>
    <xdr:to>
      <xdr:col>18</xdr:col>
      <xdr:colOff>551616</xdr:colOff>
      <xdr:row>35</xdr:row>
      <xdr:rowOff>134696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A86DA8E-E7D1-4D19-83C2-ADE60E625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108784</xdr:colOff>
      <xdr:row>37</xdr:row>
      <xdr:rowOff>6414</xdr:rowOff>
    </xdr:from>
    <xdr:to>
      <xdr:col>9</xdr:col>
      <xdr:colOff>256566</xdr:colOff>
      <xdr:row>53</xdr:row>
      <xdr:rowOff>69914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40E866-0817-4480-8FF5-222F2B309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CE52-11DF-4EA8-A8BF-8F4A00EF66FA}">
  <dimension ref="A1:J5"/>
  <sheetViews>
    <sheetView workbookViewId="0">
      <selection activeCell="C1" sqref="C1"/>
    </sheetView>
  </sheetViews>
  <sheetFormatPr defaultRowHeight="14.5" x14ac:dyDescent="0.35"/>
  <cols>
    <col min="1" max="1" width="26.453125" bestFit="1" customWidth="1"/>
    <col min="2" max="2" width="49.90625" bestFit="1" customWidth="1"/>
    <col min="3" max="3" width="35.1796875" style="1" bestFit="1" customWidth="1"/>
    <col min="4" max="4" width="35.1796875" style="1" customWidth="1"/>
    <col min="5" max="5" width="35.1796875" style="1" bestFit="1" customWidth="1"/>
    <col min="6" max="6" width="35.1796875" style="1" customWidth="1"/>
    <col min="7" max="7" width="35.1796875" style="1" bestFit="1" customWidth="1"/>
    <col min="8" max="8" width="35.1796875" style="1" customWidth="1"/>
    <col min="9" max="9" width="35.1796875" style="1" bestFit="1" customWidth="1"/>
    <col min="10" max="10" width="34.81640625" style="1" bestFit="1" customWidth="1"/>
  </cols>
  <sheetData>
    <row r="1" spans="1:10" x14ac:dyDescent="0.35">
      <c r="A1" t="s">
        <v>0</v>
      </c>
      <c r="B1" t="s">
        <v>1</v>
      </c>
      <c r="C1" s="1" t="s">
        <v>8</v>
      </c>
      <c r="D1" s="1" t="s">
        <v>12</v>
      </c>
      <c r="E1" s="1" t="s">
        <v>9</v>
      </c>
      <c r="F1" s="1" t="s">
        <v>13</v>
      </c>
      <c r="G1" s="1" t="s">
        <v>10</v>
      </c>
      <c r="H1" s="1" t="s">
        <v>14</v>
      </c>
      <c r="I1" s="1" t="s">
        <v>11</v>
      </c>
      <c r="J1" s="1" t="s">
        <v>15</v>
      </c>
    </row>
    <row r="2" spans="1:10" x14ac:dyDescent="0.35">
      <c r="A2" t="s">
        <v>2</v>
      </c>
      <c r="B2" t="s">
        <v>5</v>
      </c>
      <c r="C2" s="1">
        <v>56.03</v>
      </c>
      <c r="D2" s="2">
        <f>42839.56*0.5603</f>
        <v>24003.005467999999</v>
      </c>
      <c r="E2" s="1">
        <v>56.95</v>
      </c>
      <c r="F2" s="2">
        <f>50788.83*0.5695</f>
        <v>28924.238685</v>
      </c>
      <c r="G2" s="1">
        <v>57.73</v>
      </c>
      <c r="H2" s="2">
        <f>59358.05*0.5773</f>
        <v>34267.402265000004</v>
      </c>
      <c r="I2" s="1">
        <v>57.9</v>
      </c>
      <c r="J2" s="2">
        <f>68820.74*0.579</f>
        <v>39847.208460000002</v>
      </c>
    </row>
    <row r="3" spans="1:10" x14ac:dyDescent="0.35">
      <c r="A3" t="s">
        <v>3</v>
      </c>
      <c r="B3" t="s">
        <v>6</v>
      </c>
      <c r="C3" s="1">
        <v>20.93</v>
      </c>
      <c r="D3" s="2">
        <f>42839.56*0.2093</f>
        <v>8966.3199079999995</v>
      </c>
      <c r="E3" s="1">
        <v>20.68</v>
      </c>
      <c r="F3" s="2">
        <f>50788.83*0.2068</f>
        <v>10503.130044000001</v>
      </c>
      <c r="G3" s="1">
        <v>20.010000000000002</v>
      </c>
      <c r="H3" s="2">
        <f>59358.05*0.2001</f>
        <v>11877.545805</v>
      </c>
      <c r="I3" s="1">
        <v>19.82</v>
      </c>
      <c r="J3" s="2">
        <f>68820.74*0.1982</f>
        <v>13640.270668000001</v>
      </c>
    </row>
    <row r="4" spans="1:10" x14ac:dyDescent="0.35">
      <c r="A4" t="s">
        <v>4</v>
      </c>
      <c r="B4" t="s">
        <v>7</v>
      </c>
      <c r="C4" s="1">
        <v>23.04</v>
      </c>
      <c r="D4" s="2">
        <f>42839.56 * 0.2304</f>
        <v>9870.2346239999988</v>
      </c>
      <c r="E4" s="1">
        <v>22.37</v>
      </c>
      <c r="F4" s="2">
        <f>50788.83*0.2237</f>
        <v>11361.461271</v>
      </c>
      <c r="G4" s="1">
        <v>22.26</v>
      </c>
      <c r="H4" s="2">
        <f>59358.05*0.2226</f>
        <v>13213.101930000001</v>
      </c>
      <c r="I4" s="1">
        <v>22.28</v>
      </c>
      <c r="J4" s="2">
        <f>68820.74*0.2228</f>
        <v>15333.260872000001</v>
      </c>
    </row>
    <row r="5" spans="1:10" x14ac:dyDescent="0.35">
      <c r="D5" s="2"/>
    </row>
  </sheetData>
  <sheetProtection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1311-79B3-4D35-8A87-0D52CFB1D629}">
  <dimension ref="A1:I70"/>
  <sheetViews>
    <sheetView topLeftCell="A3" workbookViewId="0">
      <selection activeCell="J20" sqref="J20"/>
    </sheetView>
  </sheetViews>
  <sheetFormatPr defaultRowHeight="14.5" x14ac:dyDescent="0.35"/>
  <cols>
    <col min="1" max="1" width="44.1796875" bestFit="1" customWidth="1"/>
    <col min="2" max="2" width="14.36328125" customWidth="1"/>
    <col min="3" max="3" width="11.90625" customWidth="1"/>
    <col min="4" max="4" width="12.1796875" customWidth="1"/>
    <col min="5" max="5" width="13" customWidth="1"/>
    <col min="6" max="6" width="17.08984375" customWidth="1"/>
    <col min="7" max="7" width="19.81640625" customWidth="1"/>
    <col min="8" max="8" width="13.36328125" customWidth="1"/>
  </cols>
  <sheetData>
    <row r="1" spans="1:9" ht="21" x14ac:dyDescent="0.5">
      <c r="A1" s="3" t="s">
        <v>16</v>
      </c>
    </row>
    <row r="3" spans="1:9" s="7" customFormat="1" ht="16" x14ac:dyDescent="0.4">
      <c r="A3" s="4" t="s">
        <v>17</v>
      </c>
      <c r="B3" s="7" t="s">
        <v>30</v>
      </c>
      <c r="C3" s="7" t="s">
        <v>31</v>
      </c>
      <c r="D3" s="7" t="s">
        <v>63</v>
      </c>
      <c r="E3" s="7" t="s">
        <v>64</v>
      </c>
      <c r="I3" s="17"/>
    </row>
    <row r="4" spans="1:9" ht="16" x14ac:dyDescent="0.4">
      <c r="A4" s="5" t="s">
        <v>18</v>
      </c>
    </row>
    <row r="5" spans="1:9" ht="16" x14ac:dyDescent="0.4">
      <c r="A5" s="6" t="s">
        <v>19</v>
      </c>
      <c r="I5" s="8"/>
    </row>
    <row r="6" spans="1:9" x14ac:dyDescent="0.35">
      <c r="A6" t="s">
        <v>20</v>
      </c>
      <c r="B6" s="8">
        <v>9725.61</v>
      </c>
      <c r="C6" s="8">
        <v>11759.19</v>
      </c>
      <c r="D6" s="8">
        <v>14349.83</v>
      </c>
      <c r="E6" s="8">
        <v>17586.95</v>
      </c>
      <c r="G6" s="8"/>
      <c r="H6" s="8"/>
    </row>
    <row r="7" spans="1:9" x14ac:dyDescent="0.35">
      <c r="A7" t="s">
        <v>21</v>
      </c>
      <c r="B7">
        <v>829.16</v>
      </c>
      <c r="C7">
        <v>935.22</v>
      </c>
      <c r="D7" s="8">
        <v>1099.3499999999999</v>
      </c>
      <c r="E7" s="8">
        <v>1299.96</v>
      </c>
      <c r="G7" s="8"/>
      <c r="H7" s="8"/>
    </row>
    <row r="8" spans="1:9" x14ac:dyDescent="0.35">
      <c r="A8" t="s">
        <v>22</v>
      </c>
      <c r="B8" s="8">
        <v>1504.88</v>
      </c>
      <c r="C8" s="8">
        <v>1539.1</v>
      </c>
      <c r="D8" s="8">
        <v>1741.73</v>
      </c>
      <c r="E8" s="8">
        <v>2381.41</v>
      </c>
      <c r="G8" s="8"/>
      <c r="H8" s="8"/>
    </row>
    <row r="9" spans="1:9" x14ac:dyDescent="0.35">
      <c r="A9" t="s">
        <v>23</v>
      </c>
      <c r="B9">
        <v>8.5399999999999991</v>
      </c>
      <c r="C9">
        <v>8.09</v>
      </c>
      <c r="D9">
        <v>7.65</v>
      </c>
      <c r="E9">
        <v>7.26</v>
      </c>
    </row>
    <row r="10" spans="1:9" x14ac:dyDescent="0.35">
      <c r="A10" t="s">
        <v>24</v>
      </c>
      <c r="B10">
        <v>78.27</v>
      </c>
      <c r="C10">
        <v>78.27</v>
      </c>
      <c r="D10">
        <v>78.27</v>
      </c>
      <c r="E10">
        <v>78.27</v>
      </c>
    </row>
    <row r="11" spans="1:9" x14ac:dyDescent="0.35">
      <c r="A11" t="s">
        <v>25</v>
      </c>
      <c r="B11">
        <v>23.18</v>
      </c>
      <c r="C11">
        <v>30.35</v>
      </c>
      <c r="D11">
        <v>28.98</v>
      </c>
      <c r="E11">
        <v>36.42</v>
      </c>
    </row>
    <row r="12" spans="1:9" x14ac:dyDescent="0.35">
      <c r="A12" t="s">
        <v>26</v>
      </c>
      <c r="B12">
        <v>108.56</v>
      </c>
      <c r="C12">
        <v>0.01</v>
      </c>
      <c r="D12">
        <v>2.0099999999999998</v>
      </c>
      <c r="E12">
        <v>2.0099999999999998</v>
      </c>
    </row>
    <row r="13" spans="1:9" x14ac:dyDescent="0.35">
      <c r="A13" t="s">
        <v>62</v>
      </c>
      <c r="C13">
        <v>234.76</v>
      </c>
      <c r="D13">
        <v>168.12</v>
      </c>
      <c r="E13">
        <v>196.71</v>
      </c>
    </row>
    <row r="14" spans="1:9" x14ac:dyDescent="0.35">
      <c r="A14" t="s">
        <v>27</v>
      </c>
      <c r="B14">
        <v>17.5</v>
      </c>
      <c r="C14">
        <v>17.559999999999999</v>
      </c>
      <c r="D14">
        <v>18.190000000000001</v>
      </c>
      <c r="E14">
        <v>16.8</v>
      </c>
    </row>
    <row r="15" spans="1:9" x14ac:dyDescent="0.35">
      <c r="A15" t="s">
        <v>28</v>
      </c>
      <c r="B15">
        <v>1.77</v>
      </c>
      <c r="C15">
        <v>4.72</v>
      </c>
      <c r="D15">
        <v>7.51</v>
      </c>
      <c r="E15">
        <v>6.71</v>
      </c>
      <c r="I15" s="8"/>
    </row>
    <row r="16" spans="1:9" x14ac:dyDescent="0.35">
      <c r="A16" t="s">
        <v>29</v>
      </c>
      <c r="B16">
        <v>360.43</v>
      </c>
      <c r="C16">
        <v>367.9</v>
      </c>
      <c r="D16">
        <v>426.45</v>
      </c>
      <c r="E16">
        <v>433.98</v>
      </c>
      <c r="I16" s="8"/>
    </row>
    <row r="17" spans="1:9" s="9" customFormat="1" x14ac:dyDescent="0.35">
      <c r="A17" s="9" t="s">
        <v>41</v>
      </c>
      <c r="B17" s="10">
        <f>SUM(B6:B16)</f>
        <v>12657.900000000003</v>
      </c>
      <c r="C17" s="10">
        <f>SUM(C6:C16)</f>
        <v>14975.17</v>
      </c>
      <c r="D17" s="10">
        <f>SUM(D6:D16)</f>
        <v>17928.089999999997</v>
      </c>
      <c r="E17" s="10">
        <f>SUM(E6:E16)</f>
        <v>22046.479999999992</v>
      </c>
      <c r="G17" s="10"/>
      <c r="H17" s="10"/>
    </row>
    <row r="18" spans="1:9" x14ac:dyDescent="0.35">
      <c r="C18" s="8"/>
      <c r="H18" s="8"/>
    </row>
    <row r="19" spans="1:9" x14ac:dyDescent="0.35">
      <c r="A19" s="7" t="s">
        <v>32</v>
      </c>
      <c r="G19" s="8"/>
    </row>
    <row r="20" spans="1:9" x14ac:dyDescent="0.35">
      <c r="A20" t="s">
        <v>33</v>
      </c>
      <c r="B20" s="8">
        <v>3243.48</v>
      </c>
      <c r="C20" s="8">
        <v>3927.31</v>
      </c>
      <c r="D20" s="8">
        <v>5044.37</v>
      </c>
      <c r="E20" s="8">
        <v>5900.64</v>
      </c>
    </row>
    <row r="21" spans="1:9" x14ac:dyDescent="0.35">
      <c r="A21" t="s">
        <v>34</v>
      </c>
      <c r="I21" s="8"/>
    </row>
    <row r="22" spans="1:9" x14ac:dyDescent="0.35">
      <c r="A22" t="s">
        <v>39</v>
      </c>
      <c r="B22">
        <v>202.19</v>
      </c>
      <c r="C22">
        <v>106.66</v>
      </c>
      <c r="D22">
        <v>1.25</v>
      </c>
      <c r="E22">
        <v>2</v>
      </c>
      <c r="G22" s="19"/>
      <c r="H22" s="19"/>
      <c r="I22" s="19"/>
    </row>
    <row r="23" spans="1:9" x14ac:dyDescent="0.35">
      <c r="A23" t="s">
        <v>35</v>
      </c>
      <c r="B23">
        <v>62.16</v>
      </c>
      <c r="C23">
        <v>166.37</v>
      </c>
      <c r="D23">
        <v>153.79</v>
      </c>
      <c r="E23">
        <v>149.34</v>
      </c>
      <c r="I23" s="8"/>
    </row>
    <row r="24" spans="1:9" x14ac:dyDescent="0.35">
      <c r="A24" t="s">
        <v>37</v>
      </c>
      <c r="B24">
        <v>207.15</v>
      </c>
      <c r="C24">
        <v>337.12</v>
      </c>
      <c r="D24">
        <v>355.48</v>
      </c>
      <c r="E24">
        <v>283.70999999999998</v>
      </c>
      <c r="I24" s="8"/>
    </row>
    <row r="25" spans="1:9" x14ac:dyDescent="0.35">
      <c r="A25" t="s">
        <v>36</v>
      </c>
      <c r="B25" s="8">
        <v>1201.18</v>
      </c>
      <c r="C25">
        <v>301.06</v>
      </c>
      <c r="D25">
        <v>2.72</v>
      </c>
      <c r="E25">
        <v>20.07</v>
      </c>
      <c r="H25" s="8"/>
    </row>
    <row r="26" spans="1:9" x14ac:dyDescent="0.35">
      <c r="A26" t="s">
        <v>38</v>
      </c>
      <c r="B26">
        <v>316.77</v>
      </c>
      <c r="C26" s="8">
        <v>1128.49</v>
      </c>
      <c r="D26">
        <v>528.36</v>
      </c>
      <c r="E26">
        <v>726.6</v>
      </c>
      <c r="G26" s="8"/>
      <c r="H26" s="8"/>
    </row>
    <row r="27" spans="1:9" x14ac:dyDescent="0.35">
      <c r="A27" t="s">
        <v>40</v>
      </c>
      <c r="B27">
        <v>215.46</v>
      </c>
      <c r="C27">
        <v>235.02</v>
      </c>
      <c r="D27">
        <v>306.23</v>
      </c>
      <c r="E27">
        <v>395.42</v>
      </c>
      <c r="G27" s="8"/>
    </row>
    <row r="28" spans="1:9" s="9" customFormat="1" x14ac:dyDescent="0.35">
      <c r="A28" s="9" t="s">
        <v>42</v>
      </c>
      <c r="B28" s="10">
        <f>SUM(B20:B27)</f>
        <v>5448.39</v>
      </c>
      <c r="C28" s="10">
        <f>SUM(C20:C27)</f>
        <v>6202.0300000000007</v>
      </c>
      <c r="D28" s="10">
        <f>SUM(D20:D27)</f>
        <v>6392.1999999999989</v>
      </c>
      <c r="E28" s="10">
        <f>SUM(E20:E27)</f>
        <v>7477.7800000000007</v>
      </c>
    </row>
    <row r="29" spans="1:9" s="11" customFormat="1" x14ac:dyDescent="0.35">
      <c r="A29" s="11" t="s">
        <v>43</v>
      </c>
      <c r="B29" s="12">
        <f>SUM(B17,B28)</f>
        <v>18106.290000000005</v>
      </c>
      <c r="C29" s="12">
        <f>SUM(C17,C28)</f>
        <v>21177.200000000001</v>
      </c>
      <c r="D29" s="12">
        <f>SUM(D17,D28)</f>
        <v>24320.289999999994</v>
      </c>
      <c r="E29" s="12">
        <f>SUM(E17,E28)</f>
        <v>29524.259999999995</v>
      </c>
    </row>
    <row r="31" spans="1:9" x14ac:dyDescent="0.35">
      <c r="A31" s="7" t="s">
        <v>61</v>
      </c>
    </row>
    <row r="32" spans="1:9" s="7" customFormat="1" x14ac:dyDescent="0.35">
      <c r="A32" s="7" t="s">
        <v>47</v>
      </c>
    </row>
    <row r="33" spans="1:8" x14ac:dyDescent="0.35">
      <c r="A33" t="s">
        <v>48</v>
      </c>
      <c r="B33">
        <v>476.66</v>
      </c>
      <c r="C33">
        <v>399.24</v>
      </c>
      <c r="D33">
        <v>555.79</v>
      </c>
      <c r="E33" s="8">
        <v>1142.54</v>
      </c>
    </row>
    <row r="34" spans="1:8" x14ac:dyDescent="0.35">
      <c r="A34" t="s">
        <v>49</v>
      </c>
      <c r="B34">
        <v>0.47</v>
      </c>
      <c r="C34">
        <v>0.37</v>
      </c>
      <c r="D34">
        <v>0.49</v>
      </c>
      <c r="E34">
        <v>0.54</v>
      </c>
      <c r="G34" s="8"/>
    </row>
    <row r="35" spans="1:8" x14ac:dyDescent="0.35">
      <c r="A35" t="s">
        <v>50</v>
      </c>
      <c r="B35">
        <v>6.41</v>
      </c>
      <c r="C35">
        <v>9.18</v>
      </c>
      <c r="D35">
        <v>12.67</v>
      </c>
      <c r="E35">
        <v>14.7</v>
      </c>
    </row>
    <row r="36" spans="1:8" x14ac:dyDescent="0.35">
      <c r="A36" t="s">
        <v>51</v>
      </c>
      <c r="B36">
        <v>76.959999999999994</v>
      </c>
      <c r="C36">
        <v>91.93</v>
      </c>
      <c r="D36">
        <v>112.48</v>
      </c>
      <c r="E36">
        <v>121.86</v>
      </c>
    </row>
    <row r="37" spans="1:8" s="13" customFormat="1" x14ac:dyDescent="0.35">
      <c r="A37" s="13" t="s">
        <v>59</v>
      </c>
      <c r="B37" s="13">
        <f>SUM(B33:B36)</f>
        <v>560.50000000000011</v>
      </c>
      <c r="C37" s="13">
        <f>SUM(C33:C36)</f>
        <v>500.72</v>
      </c>
      <c r="D37" s="13">
        <f>SUM(D33:D36)</f>
        <v>681.43</v>
      </c>
      <c r="E37" s="13">
        <f>SUM(E33:E36)</f>
        <v>1279.6399999999999</v>
      </c>
      <c r="G37" s="14"/>
    </row>
    <row r="38" spans="1:8" x14ac:dyDescent="0.35">
      <c r="G38" s="8"/>
    </row>
    <row r="39" spans="1:8" s="7" customFormat="1" x14ac:dyDescent="0.35">
      <c r="A39" s="7" t="s">
        <v>52</v>
      </c>
    </row>
    <row r="40" spans="1:8" s="7" customFormat="1" x14ac:dyDescent="0.35">
      <c r="A40" t="s">
        <v>65</v>
      </c>
      <c r="E40">
        <v>965.27</v>
      </c>
    </row>
    <row r="41" spans="1:8" x14ac:dyDescent="0.35">
      <c r="A41" t="s">
        <v>48</v>
      </c>
      <c r="B41">
        <v>166.32</v>
      </c>
      <c r="C41">
        <v>192.92</v>
      </c>
      <c r="D41">
        <v>263.83</v>
      </c>
      <c r="E41">
        <v>317.18</v>
      </c>
      <c r="G41" s="8"/>
    </row>
    <row r="42" spans="1:8" x14ac:dyDescent="0.35">
      <c r="A42" t="s">
        <v>53</v>
      </c>
      <c r="B42">
        <v>76.290000000000006</v>
      </c>
      <c r="C42">
        <v>230.6</v>
      </c>
      <c r="D42">
        <v>289.52999999999997</v>
      </c>
      <c r="E42">
        <v>393.47</v>
      </c>
    </row>
    <row r="43" spans="1:8" x14ac:dyDescent="0.35">
      <c r="A43" t="s">
        <v>54</v>
      </c>
      <c r="B43">
        <v>677.5</v>
      </c>
      <c r="C43">
        <v>754.21</v>
      </c>
      <c r="D43">
        <v>781.28</v>
      </c>
      <c r="E43">
        <v>944.76</v>
      </c>
      <c r="G43" s="8"/>
    </row>
    <row r="44" spans="1:8" x14ac:dyDescent="0.35">
      <c r="A44" t="s">
        <v>55</v>
      </c>
      <c r="B44">
        <v>289.45999999999998</v>
      </c>
      <c r="C44">
        <v>389.85</v>
      </c>
      <c r="D44">
        <v>448.64</v>
      </c>
      <c r="E44">
        <v>637.19000000000005</v>
      </c>
      <c r="H44" s="8"/>
    </row>
    <row r="45" spans="1:8" x14ac:dyDescent="0.35">
      <c r="A45" t="s">
        <v>56</v>
      </c>
      <c r="B45">
        <v>121.18</v>
      </c>
      <c r="C45">
        <v>95.74</v>
      </c>
      <c r="D45">
        <v>138.62</v>
      </c>
      <c r="E45">
        <v>141.44</v>
      </c>
      <c r="H45" s="8"/>
    </row>
    <row r="46" spans="1:8" x14ac:dyDescent="0.35">
      <c r="A46" t="s">
        <v>50</v>
      </c>
      <c r="B46">
        <v>50.87</v>
      </c>
      <c r="C46">
        <v>61.04</v>
      </c>
      <c r="D46">
        <v>49.14</v>
      </c>
      <c r="E46">
        <v>111.42</v>
      </c>
    </row>
    <row r="47" spans="1:8" x14ac:dyDescent="0.35">
      <c r="A47" t="s">
        <v>57</v>
      </c>
      <c r="B47">
        <v>85.39</v>
      </c>
      <c r="C47">
        <v>254.78</v>
      </c>
      <c r="D47">
        <v>241.12</v>
      </c>
      <c r="E47">
        <v>271.52999999999997</v>
      </c>
      <c r="G47" s="8"/>
    </row>
    <row r="48" spans="1:8" s="13" customFormat="1" x14ac:dyDescent="0.35">
      <c r="A48" s="13" t="s">
        <v>58</v>
      </c>
      <c r="B48" s="14">
        <v>1467.01</v>
      </c>
      <c r="C48" s="14">
        <f>SUM(C41:C47)</f>
        <v>1979.1399999999999</v>
      </c>
      <c r="D48" s="14">
        <f>SUM(D41:D47)</f>
        <v>2212.16</v>
      </c>
      <c r="E48" s="14">
        <f>SUM(E40:E47)</f>
        <v>3782.26</v>
      </c>
    </row>
    <row r="49" spans="1:7" x14ac:dyDescent="0.35">
      <c r="A49" t="s">
        <v>44</v>
      </c>
      <c r="B49">
        <v>648.26</v>
      </c>
      <c r="C49">
        <v>650.73</v>
      </c>
      <c r="D49">
        <v>650.73</v>
      </c>
      <c r="E49">
        <v>651.96</v>
      </c>
    </row>
    <row r="50" spans="1:7" x14ac:dyDescent="0.35">
      <c r="A50" t="s">
        <v>45</v>
      </c>
      <c r="B50" s="8">
        <v>15430.44</v>
      </c>
      <c r="C50" s="8">
        <v>18047.09</v>
      </c>
      <c r="D50" s="8">
        <v>20777.02</v>
      </c>
      <c r="E50">
        <v>23812.080000000002</v>
      </c>
    </row>
    <row r="51" spans="1:7" x14ac:dyDescent="0.35">
      <c r="A51" t="s">
        <v>46</v>
      </c>
      <c r="B51">
        <v>0.08</v>
      </c>
      <c r="C51">
        <v>-0.48</v>
      </c>
      <c r="D51">
        <v>-1.05</v>
      </c>
      <c r="E51">
        <v>-1.68</v>
      </c>
    </row>
    <row r="53" spans="1:7" s="15" customFormat="1" x14ac:dyDescent="0.35">
      <c r="A53" s="15" t="s">
        <v>60</v>
      </c>
      <c r="B53" s="16">
        <f>SUM(B37,B48,B49,B50,B51)</f>
        <v>18106.29</v>
      </c>
      <c r="C53" s="16">
        <f>SUM(C37,C48,C49,C50,C51)</f>
        <v>21177.200000000001</v>
      </c>
      <c r="D53" s="16">
        <f>SUM(D37,D48,D49,D50,D51)</f>
        <v>24320.29</v>
      </c>
      <c r="E53" s="16">
        <f>SUM(E37,E48,E49,E50,E51)</f>
        <v>29524.260000000002</v>
      </c>
    </row>
    <row r="55" spans="1:7" x14ac:dyDescent="0.35">
      <c r="C55" s="8"/>
      <c r="D55" s="8"/>
    </row>
    <row r="56" spans="1:7" x14ac:dyDescent="0.35">
      <c r="D56" s="8"/>
    </row>
    <row r="57" spans="1:7" x14ac:dyDescent="0.35">
      <c r="B57" s="8"/>
      <c r="G57" s="8"/>
    </row>
    <row r="58" spans="1:7" x14ac:dyDescent="0.35">
      <c r="G58" s="8"/>
    </row>
    <row r="69" spans="7:7" x14ac:dyDescent="0.35">
      <c r="G69" s="8"/>
    </row>
    <row r="70" spans="7:7" x14ac:dyDescent="0.35">
      <c r="G70" s="8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3E8F-CEAD-47CE-A21B-B6713ECF7C72}">
  <dimension ref="A1:H52"/>
  <sheetViews>
    <sheetView topLeftCell="A3" workbookViewId="0">
      <selection activeCell="F54" sqref="F54"/>
    </sheetView>
  </sheetViews>
  <sheetFormatPr defaultRowHeight="14.5" x14ac:dyDescent="0.35"/>
  <cols>
    <col min="1" max="1" width="44.1796875" bestFit="1" customWidth="1"/>
    <col min="2" max="2" width="10.54296875" bestFit="1" customWidth="1"/>
    <col min="3" max="5" width="9.90625" bestFit="1" customWidth="1"/>
  </cols>
  <sheetData>
    <row r="1" spans="1:5" s="18" customFormat="1" ht="24" customHeight="1" x14ac:dyDescent="0.45">
      <c r="A1" s="199" t="s">
        <v>66</v>
      </c>
      <c r="B1" s="199"/>
      <c r="C1" s="199"/>
      <c r="D1" s="199"/>
    </row>
    <row r="3" spans="1:5" ht="16" x14ac:dyDescent="0.4">
      <c r="A3" s="4" t="s">
        <v>17</v>
      </c>
      <c r="B3" s="7" t="s">
        <v>30</v>
      </c>
      <c r="C3" s="7" t="s">
        <v>31</v>
      </c>
      <c r="D3" s="7" t="s">
        <v>63</v>
      </c>
      <c r="E3" s="7" t="s">
        <v>64</v>
      </c>
    </row>
    <row r="4" spans="1:5" ht="16" x14ac:dyDescent="0.4">
      <c r="A4" s="5" t="s">
        <v>18</v>
      </c>
    </row>
    <row r="5" spans="1:5" ht="16" x14ac:dyDescent="0.4">
      <c r="A5" s="6" t="s">
        <v>19</v>
      </c>
    </row>
    <row r="6" spans="1:5" x14ac:dyDescent="0.35">
      <c r="A6" t="s">
        <v>20</v>
      </c>
      <c r="B6" s="19">
        <f>('Balance Sheet'!B6/'Balance Sheet'!$B$29)</f>
        <v>0.5371398558180609</v>
      </c>
      <c r="C6" s="19">
        <f>('Balance Sheet'!C6/'Balance Sheet'!$C$29)</f>
        <v>0.5552759571614756</v>
      </c>
      <c r="D6" s="19">
        <f>('Balance Sheet'!D6/'Balance Sheet'!$D$29)</f>
        <v>0.59003531619071992</v>
      </c>
      <c r="E6" s="19">
        <f>('Balance Sheet'!E6/'Balance Sheet'!$E$29)</f>
        <v>0.59567792723678781</v>
      </c>
    </row>
    <row r="7" spans="1:5" x14ac:dyDescent="0.35">
      <c r="A7" t="s">
        <v>21</v>
      </c>
      <c r="B7" s="19">
        <f>('Balance Sheet'!B7/'Balance Sheet'!$B$29)</f>
        <v>4.5794030693201079E-2</v>
      </c>
      <c r="C7" s="19">
        <f>('Balance Sheet'!C7/'Balance Sheet'!$C$29)</f>
        <v>4.4161645543320173E-2</v>
      </c>
      <c r="D7" s="19">
        <f>('Balance Sheet'!D7/'Balance Sheet'!$D$29)</f>
        <v>4.5202997168208116E-2</v>
      </c>
      <c r="E7" s="19">
        <f>('Balance Sheet'!E7/'Balance Sheet'!$E$29)</f>
        <v>4.4030231409694955E-2</v>
      </c>
    </row>
    <row r="8" spans="1:5" x14ac:dyDescent="0.35">
      <c r="A8" t="s">
        <v>22</v>
      </c>
      <c r="B8" s="19">
        <f>('Balance Sheet'!B8/'Balance Sheet'!$B$29)</f>
        <v>8.3113658292228818E-2</v>
      </c>
      <c r="C8" s="19">
        <f>('Balance Sheet'!C8/'Balance Sheet'!$C$29)</f>
        <v>7.267721889579358E-2</v>
      </c>
      <c r="D8" s="19">
        <f>('Balance Sheet'!D8/'Balance Sheet'!$D$29)</f>
        <v>7.1616333522338774E-2</v>
      </c>
      <c r="E8" s="19">
        <f>('Balance Sheet'!E8/'Balance Sheet'!$E$29)</f>
        <v>8.0659430583526912E-2</v>
      </c>
    </row>
    <row r="9" spans="1:5" x14ac:dyDescent="0.35">
      <c r="A9" t="s">
        <v>23</v>
      </c>
      <c r="B9" s="19">
        <f>('Balance Sheet'!B9/'Balance Sheet'!$B$29)</f>
        <v>4.7165929629979398E-4</v>
      </c>
      <c r="C9" s="19">
        <f>('Balance Sheet'!C9/'Balance Sheet'!$C$29)</f>
        <v>3.8201461949643957E-4</v>
      </c>
      <c r="D9" s="19">
        <f>('Balance Sheet'!D9/'Balance Sheet'!$D$29)</f>
        <v>3.1455217022494396E-4</v>
      </c>
      <c r="E9" s="19">
        <f>('Balance Sheet'!E9/'Balance Sheet'!$E$29)</f>
        <v>2.4589947385641504E-4</v>
      </c>
    </row>
    <row r="10" spans="1:5" x14ac:dyDescent="0.35">
      <c r="A10" t="s">
        <v>24</v>
      </c>
      <c r="B10" s="19">
        <f>('Balance Sheet'!B10/'Balance Sheet'!$B$29)</f>
        <v>4.3228071570708291E-3</v>
      </c>
      <c r="C10" s="19">
        <f>('Balance Sheet'!C10/'Balance Sheet'!$C$29)</f>
        <v>3.6959560281812514E-3</v>
      </c>
      <c r="D10" s="19">
        <f>('Balance Sheet'!D10/'Balance Sheet'!$D$29)</f>
        <v>3.2183004396740341E-3</v>
      </c>
      <c r="E10" s="19">
        <f>('Balance Sheet'!E10/'Balance Sheet'!$E$29)</f>
        <v>2.6510401954189539E-3</v>
      </c>
    </row>
    <row r="11" spans="1:5" x14ac:dyDescent="0.35">
      <c r="A11" t="s">
        <v>25</v>
      </c>
      <c r="B11" s="19">
        <f>('Balance Sheet'!B11/'Balance Sheet'!$B$29)</f>
        <v>1.2802180899565839E-3</v>
      </c>
      <c r="C11" s="19">
        <f>('Balance Sheet'!C11/'Balance Sheet'!$C$29)</f>
        <v>1.4331450805583363E-3</v>
      </c>
      <c r="D11" s="19">
        <f>('Balance Sheet'!D11/'Balance Sheet'!$D$29)</f>
        <v>1.1915976330874347E-3</v>
      </c>
      <c r="E11" s="19">
        <f>('Balance Sheet'!E11/'Balance Sheet'!$E$29)</f>
        <v>1.2335618233954046E-3</v>
      </c>
    </row>
    <row r="12" spans="1:5" x14ac:dyDescent="0.35">
      <c r="A12" t="s">
        <v>26</v>
      </c>
      <c r="B12" s="19">
        <f>('Balance Sheet'!B12/'Balance Sheet'!$B$29)</f>
        <v>5.9957064644385995E-3</v>
      </c>
      <c r="C12" s="19">
        <f>('Balance Sheet'!C12/'Balance Sheet'!$C$29)</f>
        <v>4.7220595735035794E-7</v>
      </c>
      <c r="D12" s="19">
        <f>('Balance Sheet'!D12/'Balance Sheet'!$D$29)</f>
        <v>8.2647040804200944E-5</v>
      </c>
      <c r="E12" s="19">
        <f>('Balance Sheet'!E12/'Balance Sheet'!$E$29)</f>
        <v>6.8079606398263671E-5</v>
      </c>
    </row>
    <row r="13" spans="1:5" x14ac:dyDescent="0.35">
      <c r="A13" t="s">
        <v>62</v>
      </c>
      <c r="B13" s="19">
        <f>('Balance Sheet'!B13/'Balance Sheet'!$B$29)</f>
        <v>0</v>
      </c>
      <c r="C13" s="19">
        <f>('Balance Sheet'!C13/'Balance Sheet'!$C$29)</f>
        <v>1.1085507054757002E-2</v>
      </c>
      <c r="D13" s="19">
        <f>('Balance Sheet'!D13/'Balance Sheet'!$D$29)</f>
        <v>6.9127465174140621E-3</v>
      </c>
      <c r="E13" s="19">
        <f>('Balance Sheet'!E13/'Balance Sheet'!$E$29)</f>
        <v>6.6626564052748496E-3</v>
      </c>
    </row>
    <row r="14" spans="1:5" x14ac:dyDescent="0.35">
      <c r="A14" t="s">
        <v>27</v>
      </c>
      <c r="B14" s="19">
        <f>('Balance Sheet'!B14/'Balance Sheet'!$B$29)</f>
        <v>9.665149514340042E-4</v>
      </c>
      <c r="C14" s="19">
        <f>('Balance Sheet'!C14/'Balance Sheet'!$C$29)</f>
        <v>8.2919366110722841E-4</v>
      </c>
      <c r="D14" s="19">
        <f>('Balance Sheet'!D14/'Balance Sheet'!$D$29)</f>
        <v>7.4793516031264459E-4</v>
      </c>
      <c r="E14" s="19">
        <f>('Balance Sheet'!E14/'Balance Sheet'!$E$29)</f>
        <v>5.6902357586608452E-4</v>
      </c>
    </row>
    <row r="15" spans="1:5" x14ac:dyDescent="0.35">
      <c r="A15" t="s">
        <v>28</v>
      </c>
      <c r="B15" s="19">
        <f>('Balance Sheet'!B15/'Balance Sheet'!$B$29)</f>
        <v>9.7756083659324996E-5</v>
      </c>
      <c r="C15" s="19">
        <f>('Balance Sheet'!C15/'Balance Sheet'!$C$29)</f>
        <v>2.2288121186936891E-4</v>
      </c>
      <c r="D15" s="19">
        <f>('Balance Sheet'!D15/'Balance Sheet'!$D$29)</f>
        <v>3.0879565992017374E-4</v>
      </c>
      <c r="E15" s="19">
        <f>('Balance Sheet'!E15/'Balance Sheet'!$E$29)</f>
        <v>2.272707258369897E-4</v>
      </c>
    </row>
    <row r="16" spans="1:5" x14ac:dyDescent="0.35">
      <c r="A16" t="s">
        <v>29</v>
      </c>
      <c r="B16" s="19">
        <f>('Balance Sheet'!B16/'Balance Sheet'!$B$29)</f>
        <v>1.9906341939734749E-2</v>
      </c>
      <c r="C16" s="19">
        <f>('Balance Sheet'!C16/'Balance Sheet'!$C$29)</f>
        <v>1.7372457170919668E-2</v>
      </c>
      <c r="D16" s="19">
        <f>('Balance Sheet'!D16/'Balance Sheet'!$D$29)</f>
        <v>1.7534741567637561E-2</v>
      </c>
      <c r="E16" s="19">
        <f>('Balance Sheet'!E16/'Balance Sheet'!$E$29)</f>
        <v>1.4699098300854961E-2</v>
      </c>
    </row>
    <row r="17" spans="1:8" s="9" customFormat="1" x14ac:dyDescent="0.35">
      <c r="A17" s="9" t="s">
        <v>41</v>
      </c>
      <c r="B17" s="20">
        <f>'Balance Sheet'!B17/'Balance Sheet'!B29</f>
        <v>0.69908854878608484</v>
      </c>
      <c r="C17" s="20">
        <f>'Balance Sheet'!C17/'Balance Sheet'!C29</f>
        <v>0.70713644863343594</v>
      </c>
      <c r="D17" s="20">
        <f>'Balance Sheet'!D17/'Balance Sheet'!D29</f>
        <v>0.73716596307034177</v>
      </c>
      <c r="E17" s="20">
        <f>'Balance Sheet'!E17/'Balance Sheet'!E29</f>
        <v>0.74672421933691124</v>
      </c>
      <c r="G17" s="10"/>
      <c r="H17" s="10"/>
    </row>
    <row r="19" spans="1:8" x14ac:dyDescent="0.35">
      <c r="A19" s="7" t="s">
        <v>32</v>
      </c>
    </row>
    <row r="20" spans="1:8" x14ac:dyDescent="0.35">
      <c r="A20" t="s">
        <v>33</v>
      </c>
      <c r="B20" s="19">
        <f>'Balance Sheet'!B20/'Balance Sheet'!$B$29</f>
        <v>0.17913553798155221</v>
      </c>
      <c r="C20" s="19">
        <f>'Balance Sheet'!C20/'Balance Sheet'!$C$29</f>
        <v>0.18544991783616341</v>
      </c>
      <c r="D20" s="19">
        <f>'Balance Sheet'!D20/'Balance Sheet'!$D$29</f>
        <v>0.2074140563290981</v>
      </c>
      <c r="E20" s="19">
        <f>'Balance Sheet'!E20/'Balance Sheet'!$E$29</f>
        <v>0.19985733766062219</v>
      </c>
    </row>
    <row r="21" spans="1:8" x14ac:dyDescent="0.35">
      <c r="A21" t="s">
        <v>34</v>
      </c>
      <c r="B21" s="19">
        <f>'Balance Sheet'!B21/'Balance Sheet'!$B$29</f>
        <v>0</v>
      </c>
      <c r="C21" s="19">
        <f>'Balance Sheet'!C21/'Balance Sheet'!$C$29</f>
        <v>0</v>
      </c>
      <c r="D21" s="19">
        <f>'Balance Sheet'!D21/'Balance Sheet'!$D$29</f>
        <v>0</v>
      </c>
      <c r="E21" s="19">
        <f>'Balance Sheet'!E21/'Balance Sheet'!$E$29</f>
        <v>0</v>
      </c>
    </row>
    <row r="22" spans="1:8" x14ac:dyDescent="0.35">
      <c r="A22" t="s">
        <v>39</v>
      </c>
      <c r="B22" s="19">
        <f>'Balance Sheet'!B22/'Balance Sheet'!$B$29</f>
        <v>1.1166837601739503E-2</v>
      </c>
      <c r="C22" s="19">
        <f>'Balance Sheet'!C22/'Balance Sheet'!$C$29</f>
        <v>5.0365487410989175E-3</v>
      </c>
      <c r="D22" s="19">
        <f>'Balance Sheet'!D22/'Balance Sheet'!$D$29</f>
        <v>5.1397413435448355E-5</v>
      </c>
      <c r="E22" s="19">
        <f>'Balance Sheet'!E22/'Balance Sheet'!$E$29</f>
        <v>6.774090188881958E-5</v>
      </c>
    </row>
    <row r="23" spans="1:8" x14ac:dyDescent="0.35">
      <c r="A23" t="s">
        <v>35</v>
      </c>
      <c r="B23" s="19">
        <f>'Balance Sheet'!B23/'Balance Sheet'!$B$29</f>
        <v>3.4330611074935829E-3</v>
      </c>
      <c r="C23" s="19">
        <f>'Balance Sheet'!C23/'Balance Sheet'!$C$29</f>
        <v>7.8560905124379042E-3</v>
      </c>
      <c r="D23" s="19">
        <f>'Balance Sheet'!D23/'Balance Sheet'!$D$29</f>
        <v>6.3235265697900818E-3</v>
      </c>
      <c r="E23" s="19">
        <f>'Balance Sheet'!E23/'Balance Sheet'!$E$29</f>
        <v>5.0582131440381579E-3</v>
      </c>
    </row>
    <row r="24" spans="1:8" x14ac:dyDescent="0.35">
      <c r="A24" t="s">
        <v>37</v>
      </c>
      <c r="B24" s="19">
        <f>'Balance Sheet'!B24/'Balance Sheet'!$B$29</f>
        <v>1.1440775553688798E-2</v>
      </c>
      <c r="C24" s="19">
        <f>'Balance Sheet'!C24/'Balance Sheet'!$C$29</f>
        <v>1.5919007234195266E-2</v>
      </c>
      <c r="D24" s="19">
        <f>'Balance Sheet'!D24/'Balance Sheet'!$D$29</f>
        <v>1.4616602022426546E-2</v>
      </c>
      <c r="E24" s="19">
        <f>'Balance Sheet'!E24/'Balance Sheet'!$E$29</f>
        <v>9.6093856374385011E-3</v>
      </c>
    </row>
    <row r="25" spans="1:8" x14ac:dyDescent="0.35">
      <c r="A25" t="s">
        <v>36</v>
      </c>
      <c r="B25" s="19">
        <f>'Balance Sheet'!B25/'Balance Sheet'!$B$29</f>
        <v>6.634048167791412E-2</v>
      </c>
      <c r="C25" s="19">
        <f>'Balance Sheet'!C25/'Balance Sheet'!$C$29</f>
        <v>1.4216232551989876E-2</v>
      </c>
      <c r="D25" s="19">
        <f>'Balance Sheet'!D25/'Balance Sheet'!$D$29</f>
        <v>1.1184077163553563E-4</v>
      </c>
      <c r="E25" s="19">
        <f>'Balance Sheet'!E25/'Balance Sheet'!$E$29</f>
        <v>6.7977995045430449E-4</v>
      </c>
    </row>
    <row r="26" spans="1:8" x14ac:dyDescent="0.35">
      <c r="A26" t="s">
        <v>38</v>
      </c>
      <c r="B26" s="19">
        <f>'Balance Sheet'!B26/'Balance Sheet'!$B$29</f>
        <v>1.7495025209471399E-2</v>
      </c>
      <c r="C26" s="19">
        <f>'Balance Sheet'!C26/'Balance Sheet'!$C$29</f>
        <v>5.328797008103054E-2</v>
      </c>
      <c r="D26" s="19">
        <f>'Balance Sheet'!D26/'Balance Sheet'!$D$29</f>
        <v>2.1725069890202797E-2</v>
      </c>
      <c r="E26" s="19">
        <f>'Balance Sheet'!E26/'Balance Sheet'!$E$29</f>
        <v>2.4610269656208154E-2</v>
      </c>
    </row>
    <row r="27" spans="1:8" x14ac:dyDescent="0.35">
      <c r="A27" t="s">
        <v>40</v>
      </c>
      <c r="B27" s="19">
        <f>'Balance Sheet'!B27/'Balance Sheet'!$B$29</f>
        <v>1.1899732082055459E-2</v>
      </c>
      <c r="C27" s="19">
        <f>'Balance Sheet'!C27/'Balance Sheet'!$C$29</f>
        <v>1.1097784409648112E-2</v>
      </c>
      <c r="D27" s="19">
        <f>'Balance Sheet'!D27/'Balance Sheet'!$D$29</f>
        <v>1.2591543933069882E-2</v>
      </c>
      <c r="E27" s="19">
        <f>'Balance Sheet'!E27/'Balance Sheet'!$E$29</f>
        <v>1.339305371243852E-2</v>
      </c>
    </row>
    <row r="28" spans="1:8" s="9" customFormat="1" x14ac:dyDescent="0.35">
      <c r="A28" s="9" t="s">
        <v>42</v>
      </c>
      <c r="B28" s="20">
        <f>'Balance Sheet'!B28/'Balance Sheet'!B29</f>
        <v>0.3009114512139151</v>
      </c>
      <c r="C28" s="20">
        <f>'Balance Sheet'!C28/'Balance Sheet'!C29</f>
        <v>0.29286355136656406</v>
      </c>
      <c r="D28" s="20">
        <f>'Balance Sheet'!D28/'Balance Sheet'!D29</f>
        <v>0.26283403692965834</v>
      </c>
      <c r="E28" s="20">
        <f>'Balance Sheet'!E28/'Balance Sheet'!E29</f>
        <v>0.25327578066308865</v>
      </c>
    </row>
    <row r="29" spans="1:8" s="21" customFormat="1" x14ac:dyDescent="0.35">
      <c r="A29" s="21" t="s">
        <v>67</v>
      </c>
      <c r="B29" s="22">
        <f>SUM(B17,B28)</f>
        <v>1</v>
      </c>
      <c r="C29" s="22">
        <f t="shared" ref="C29:E29" si="0">SUM(C17,C28)</f>
        <v>1</v>
      </c>
      <c r="D29" s="22">
        <f t="shared" si="0"/>
        <v>1</v>
      </c>
      <c r="E29" s="22">
        <f t="shared" si="0"/>
        <v>0.99999999999999989</v>
      </c>
    </row>
    <row r="31" spans="1:8" x14ac:dyDescent="0.35">
      <c r="A31" s="7" t="s">
        <v>61</v>
      </c>
    </row>
    <row r="32" spans="1:8" x14ac:dyDescent="0.35">
      <c r="A32" s="7" t="s">
        <v>47</v>
      </c>
    </row>
    <row r="33" spans="1:7" x14ac:dyDescent="0.35">
      <c r="A33" t="s">
        <v>48</v>
      </c>
      <c r="B33" s="19">
        <f>'Balance Sheet'!B33/'Balance Sheet'!$B$53</f>
        <v>2.632565810003043E-2</v>
      </c>
      <c r="C33" s="19">
        <f>'Balance Sheet'!C33/'Balance Sheet'!$C$53</f>
        <v>1.8852350641255691E-2</v>
      </c>
      <c r="D33" s="19">
        <f>'Balance Sheet'!D33/'Balance Sheet'!$D$53</f>
        <v>2.2852934730630266E-2</v>
      </c>
      <c r="E33" s="19">
        <f>'Balance Sheet'!E33/'Balance Sheet'!$E$53</f>
        <v>3.8698345022025953E-2</v>
      </c>
    </row>
    <row r="34" spans="1:7" x14ac:dyDescent="0.35">
      <c r="A34" t="s">
        <v>49</v>
      </c>
      <c r="B34" s="19">
        <f>'Balance Sheet'!B34/'Balance Sheet'!$B$53</f>
        <v>2.5957830124227546E-5</v>
      </c>
      <c r="C34" s="19">
        <f>'Balance Sheet'!C34/'Balance Sheet'!$C$53</f>
        <v>1.7471620421963244E-5</v>
      </c>
      <c r="D34" s="19">
        <f>'Balance Sheet'!D34/'Balance Sheet'!$D$53</f>
        <v>2.0147786066695749E-5</v>
      </c>
      <c r="E34" s="19">
        <f>'Balance Sheet'!E34/'Balance Sheet'!$E$53</f>
        <v>1.8290043509981282E-5</v>
      </c>
    </row>
    <row r="35" spans="1:7" x14ac:dyDescent="0.35">
      <c r="A35" t="s">
        <v>50</v>
      </c>
      <c r="B35" s="19">
        <f>'Balance Sheet'!B35/'Balance Sheet'!$B$53</f>
        <v>3.5402061935382677E-4</v>
      </c>
      <c r="C35" s="19">
        <f>'Balance Sheet'!C35/'Balance Sheet'!$C$53</f>
        <v>4.3348506884762855E-4</v>
      </c>
      <c r="D35" s="19">
        <f>'Balance Sheet'!D35/'Balance Sheet'!$D$53</f>
        <v>5.2096418258170438E-4</v>
      </c>
      <c r="E35" s="19">
        <f>'Balance Sheet'!E35/'Balance Sheet'!$E$53</f>
        <v>4.9789562888282379E-4</v>
      </c>
    </row>
    <row r="36" spans="1:7" x14ac:dyDescent="0.35">
      <c r="A36" t="s">
        <v>51</v>
      </c>
      <c r="B36" s="19">
        <f>'Balance Sheet'!B36/'Balance Sheet'!$B$53</f>
        <v>4.2504566092777694E-3</v>
      </c>
      <c r="C36" s="19">
        <f>'Balance Sheet'!C36/'Balance Sheet'!$C$53</f>
        <v>4.3409893659218405E-3</v>
      </c>
      <c r="D36" s="19">
        <f>'Balance Sheet'!D36/'Balance Sheet'!$D$53</f>
        <v>4.6249448505753842E-3</v>
      </c>
      <c r="E36" s="19">
        <f>'Balance Sheet'!E36/'Balance Sheet'!$E$53</f>
        <v>4.1274531520857759E-3</v>
      </c>
    </row>
    <row r="37" spans="1:7" s="13" customFormat="1" x14ac:dyDescent="0.35">
      <c r="A37" s="13" t="s">
        <v>59</v>
      </c>
      <c r="B37" s="23">
        <f>'Balance Sheet'!B37/'Balance Sheet'!B53</f>
        <v>3.0956093158786262E-2</v>
      </c>
      <c r="C37" s="23">
        <f>'Balance Sheet'!C37/'Balance Sheet'!C53</f>
        <v>2.3644296696447124E-2</v>
      </c>
      <c r="D37" s="23">
        <f>'Balance Sheet'!D37/'Balance Sheet'!D53</f>
        <v>2.8018991549854048E-2</v>
      </c>
      <c r="E37" s="23">
        <f>'Balance Sheet'!E37/'Balance Sheet'!E53</f>
        <v>4.3341983846504527E-2</v>
      </c>
      <c r="G37" s="14"/>
    </row>
    <row r="39" spans="1:7" x14ac:dyDescent="0.35">
      <c r="A39" s="7" t="s">
        <v>52</v>
      </c>
    </row>
    <row r="40" spans="1:7" x14ac:dyDescent="0.35">
      <c r="A40" t="s">
        <v>65</v>
      </c>
      <c r="B40" s="19">
        <f>'Balance Sheet'!B40/'Balance Sheet'!$B$53</f>
        <v>0</v>
      </c>
      <c r="C40" s="19">
        <f>'Balance Sheet'!C40/'Balance Sheet'!$C$53</f>
        <v>0</v>
      </c>
      <c r="D40" s="19">
        <f>'Balance Sheet'!D40/'Balance Sheet'!$D$53</f>
        <v>0</v>
      </c>
      <c r="E40" s="19">
        <f>'Balance Sheet'!E40/'Balance Sheet'!$E$53</f>
        <v>3.2694130183110431E-2</v>
      </c>
    </row>
    <row r="41" spans="1:7" x14ac:dyDescent="0.35">
      <c r="A41" t="s">
        <v>48</v>
      </c>
      <c r="B41" s="19">
        <f>'Balance Sheet'!B41/'Balance Sheet'!$B$53</f>
        <v>9.1857580984287777E-3</v>
      </c>
      <c r="C41" s="19">
        <f>'Balance Sheet'!C41/'Balance Sheet'!$C$53</f>
        <v>9.1097973292031051E-3</v>
      </c>
      <c r="D41" s="19">
        <f>'Balance Sheet'!D41/'Balance Sheet'!$D$53</f>
        <v>1.0848143669339469E-2</v>
      </c>
      <c r="E41" s="19">
        <f>'Balance Sheet'!E41/'Balance Sheet'!$E$53</f>
        <v>1.0743029630547895E-2</v>
      </c>
    </row>
    <row r="42" spans="1:7" x14ac:dyDescent="0.35">
      <c r="A42" t="s">
        <v>53</v>
      </c>
      <c r="B42" s="19">
        <f>'Balance Sheet'!B42/'Balance Sheet'!$B$53</f>
        <v>4.2134528939942973E-3</v>
      </c>
      <c r="C42" s="19">
        <f>'Balance Sheet'!C42/'Balance Sheet'!$C$53</f>
        <v>1.0889069376499253E-2</v>
      </c>
      <c r="D42" s="19">
        <f>'Balance Sheet'!D42/'Balance Sheet'!$D$53</f>
        <v>1.1904874489572285E-2</v>
      </c>
      <c r="E42" s="19">
        <f>'Balance Sheet'!E42/'Balance Sheet'!$E$53</f>
        <v>1.3327006333096917E-2</v>
      </c>
    </row>
    <row r="43" spans="1:7" x14ac:dyDescent="0.35">
      <c r="A43" t="s">
        <v>54</v>
      </c>
      <c r="B43" s="19">
        <f>'Balance Sheet'!B43/'Balance Sheet'!$B$53</f>
        <v>3.7417935976945024E-2</v>
      </c>
      <c r="C43" s="19">
        <f>'Balance Sheet'!C43/'Balance Sheet'!$C$53</f>
        <v>3.5614245509321345E-2</v>
      </c>
      <c r="D43" s="19">
        <f>'Balance Sheet'!D43/'Balance Sheet'!$D$53</f>
        <v>3.2124616935077663E-2</v>
      </c>
      <c r="E43" s="19">
        <f>'Balance Sheet'!E43/'Balance Sheet'!$E$53</f>
        <v>3.1999447234240586E-2</v>
      </c>
    </row>
    <row r="44" spans="1:7" x14ac:dyDescent="0.35">
      <c r="A44" t="s">
        <v>55</v>
      </c>
      <c r="B44" s="19">
        <f>'Balance Sheet'!B44/'Balance Sheet'!$B$53</f>
        <v>1.5986709590976395E-2</v>
      </c>
      <c r="C44" s="19">
        <f>'Balance Sheet'!C44/'Balance Sheet'!$C$53</f>
        <v>1.8408949247303706E-2</v>
      </c>
      <c r="D44" s="19">
        <f>'Balance Sheet'!D44/'Balance Sheet'!$D$53</f>
        <v>1.8447148450943633E-2</v>
      </c>
      <c r="E44" s="19">
        <f>'Balance Sheet'!E44/'Balance Sheet'!$E$53</f>
        <v>2.1581912637268469E-2</v>
      </c>
    </row>
    <row r="45" spans="1:7" x14ac:dyDescent="0.35">
      <c r="A45" t="s">
        <v>56</v>
      </c>
      <c r="B45" s="19">
        <f>'Balance Sheet'!B45/'Balance Sheet'!$B$53</f>
        <v>6.6927018179870094E-3</v>
      </c>
      <c r="C45" s="19">
        <f>'Balance Sheet'!C45/'Balance Sheet'!$C$53</f>
        <v>4.5208998356723266E-3</v>
      </c>
      <c r="D45" s="19">
        <f>'Balance Sheet'!D45/'Balance Sheet'!$D$53</f>
        <v>5.6997675603374792E-3</v>
      </c>
      <c r="E45" s="19">
        <f>'Balance Sheet'!E45/'Balance Sheet'!$E$53</f>
        <v>4.7906365815773193E-3</v>
      </c>
    </row>
    <row r="46" spans="1:7" x14ac:dyDescent="0.35">
      <c r="A46" t="s">
        <v>50</v>
      </c>
      <c r="B46" s="19">
        <f>'Balance Sheet'!B46/'Balance Sheet'!$B$53</f>
        <v>2.8095208902541601E-3</v>
      </c>
      <c r="C46" s="19">
        <f>'Balance Sheet'!C46/'Balance Sheet'!$C$53</f>
        <v>2.8823451636665848E-3</v>
      </c>
      <c r="D46" s="19">
        <f>'Balance Sheet'!D46/'Balance Sheet'!$D$53</f>
        <v>2.0205351169743451E-3</v>
      </c>
      <c r="E46" s="19">
        <f>'Balance Sheet'!E46/'Balance Sheet'!$E$53</f>
        <v>3.7738456442261378E-3</v>
      </c>
    </row>
    <row r="47" spans="1:7" x14ac:dyDescent="0.35">
      <c r="A47" t="s">
        <v>57</v>
      </c>
      <c r="B47" s="19">
        <f>'Balance Sheet'!B47/'Balance Sheet'!$B$53</f>
        <v>4.7160406687399795E-3</v>
      </c>
      <c r="C47" s="19">
        <f>'Balance Sheet'!C47/'Balance Sheet'!$C$53</f>
        <v>1.2030863381372419E-2</v>
      </c>
      <c r="D47" s="19">
        <f>'Balance Sheet'!D47/'Balance Sheet'!$D$53</f>
        <v>9.9143554620442428E-3</v>
      </c>
      <c r="E47" s="19">
        <f>'Balance Sheet'!E47/'Balance Sheet'!$E$53</f>
        <v>9.1968435449355877E-3</v>
      </c>
    </row>
    <row r="48" spans="1:7" s="13" customFormat="1" x14ac:dyDescent="0.35">
      <c r="A48" s="13" t="s">
        <v>58</v>
      </c>
      <c r="B48" s="14">
        <f>'Balance Sheet'!B48/'Balance Sheet'!B53</f>
        <v>8.1022119937325637E-2</v>
      </c>
      <c r="C48" s="14">
        <f>'Balance Sheet'!C48/'Balance Sheet'!C53</f>
        <v>9.3456169843038728E-2</v>
      </c>
      <c r="D48" s="14">
        <f>'Balance Sheet'!D48/'Balance Sheet'!D53</f>
        <v>9.0959441684289113E-2</v>
      </c>
      <c r="E48" s="14">
        <f>'Balance Sheet'!E48/'Balance Sheet'!E53</f>
        <v>0.12810685178900336</v>
      </c>
    </row>
    <row r="49" spans="1:5" x14ac:dyDescent="0.35">
      <c r="A49" t="s">
        <v>44</v>
      </c>
      <c r="B49" s="19">
        <f>'Balance Sheet'!B49/'Balance Sheet'!$B$53</f>
        <v>3.5803027566663294E-2</v>
      </c>
      <c r="C49" s="19">
        <f>'Balance Sheet'!C49/'Balance Sheet'!$C$53</f>
        <v>3.0727858262659842E-2</v>
      </c>
      <c r="D49" s="19">
        <f>'Balance Sheet'!D49/'Balance Sheet'!$D$53</f>
        <v>2.6756671075879441E-2</v>
      </c>
      <c r="E49" s="19">
        <f>'Balance Sheet'!E49/'Balance Sheet'!$E$53</f>
        <v>2.2082179197717402E-2</v>
      </c>
    </row>
    <row r="50" spans="1:5" x14ac:dyDescent="0.35">
      <c r="A50" t="s">
        <v>45</v>
      </c>
      <c r="B50" s="19">
        <f>'Balance Sheet'!B50/'Balance Sheet'!$B$53</f>
        <v>0.85221434098316107</v>
      </c>
      <c r="C50" s="19">
        <f>'Balance Sheet'!C50/'Balance Sheet'!$C$53</f>
        <v>0.85219434108380709</v>
      </c>
      <c r="D50" s="19">
        <f>'Balance Sheet'!D50/'Balance Sheet'!$D$53</f>
        <v>0.85430806951726312</v>
      </c>
      <c r="E50" s="19">
        <f>'Balance Sheet'!E50/'Balance Sheet'!$E$53</f>
        <v>0.80652588752436127</v>
      </c>
    </row>
    <row r="51" spans="1:5" x14ac:dyDescent="0.35">
      <c r="A51" t="s">
        <v>46</v>
      </c>
      <c r="B51" s="19">
        <f>'Balance Sheet'!B51/'Balance Sheet'!$B$53</f>
        <v>4.4183540636983056E-6</v>
      </c>
      <c r="C51" s="19">
        <f>'Balance Sheet'!C51/'Balance Sheet'!$C$53</f>
        <v>-2.2665885952817179E-5</v>
      </c>
      <c r="D51" s="19">
        <f>'Balance Sheet'!D51/'Balance Sheet'!$D$53</f>
        <v>-4.3173827285776608E-5</v>
      </c>
      <c r="E51" s="19">
        <f>'Balance Sheet'!E51/'Balance Sheet'!$E$53</f>
        <v>-5.6902357586608427E-5</v>
      </c>
    </row>
    <row r="52" spans="1:5" s="15" customFormat="1" x14ac:dyDescent="0.35">
      <c r="A52" s="15" t="s">
        <v>60</v>
      </c>
      <c r="B52" s="24">
        <f>SUM(B37,B48,B49,B50,B51)</f>
        <v>1</v>
      </c>
      <c r="C52" s="24">
        <f t="shared" ref="C52:E52" si="1">SUM(C37,C48,C49,C50,C51)</f>
        <v>1</v>
      </c>
      <c r="D52" s="24">
        <f t="shared" si="1"/>
        <v>0.99999999999999989</v>
      </c>
      <c r="E52" s="24">
        <f t="shared" si="1"/>
        <v>0.99999999999999989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8C1F-AEB8-4D61-A463-E0BD769BFE3F}">
  <dimension ref="A1:H29"/>
  <sheetViews>
    <sheetView topLeftCell="A15" zoomScaleNormal="100" workbookViewId="0">
      <selection activeCell="K38" sqref="K38"/>
    </sheetView>
  </sheetViews>
  <sheetFormatPr defaultRowHeight="14.5" x14ac:dyDescent="0.35"/>
  <cols>
    <col min="1" max="1" width="33.1796875" bestFit="1" customWidth="1"/>
    <col min="2" max="2" width="12.08984375" customWidth="1"/>
    <col min="3" max="3" width="11.54296875" customWidth="1"/>
    <col min="4" max="4" width="11.6328125" customWidth="1"/>
    <col min="5" max="5" width="10.7265625" customWidth="1"/>
    <col min="7" max="7" width="10.1796875" customWidth="1"/>
  </cols>
  <sheetData>
    <row r="1" spans="1:8" x14ac:dyDescent="0.35">
      <c r="A1" s="200" t="s">
        <v>68</v>
      </c>
      <c r="B1" s="200"/>
      <c r="C1" s="200"/>
      <c r="D1" s="200"/>
      <c r="E1" s="200"/>
      <c r="F1" s="200"/>
    </row>
    <row r="2" spans="1:8" x14ac:dyDescent="0.35">
      <c r="A2" s="200"/>
      <c r="B2" s="200"/>
      <c r="C2" s="200"/>
      <c r="D2" s="200"/>
      <c r="E2" s="200"/>
      <c r="F2" s="200"/>
    </row>
    <row r="4" spans="1:8" s="25" customFormat="1" x14ac:dyDescent="0.35">
      <c r="A4" s="25" t="s">
        <v>17</v>
      </c>
      <c r="B4" s="25" t="s">
        <v>30</v>
      </c>
      <c r="C4" s="25" t="s">
        <v>31</v>
      </c>
      <c r="D4" s="25" t="s">
        <v>63</v>
      </c>
      <c r="E4" s="25" t="s">
        <v>64</v>
      </c>
      <c r="H4" s="33"/>
    </row>
    <row r="5" spans="1:8" x14ac:dyDescent="0.35">
      <c r="A5" t="s">
        <v>69</v>
      </c>
      <c r="B5" s="26">
        <v>42839.56</v>
      </c>
      <c r="C5" s="8">
        <v>50788.83</v>
      </c>
      <c r="D5" s="34">
        <v>59358.05</v>
      </c>
      <c r="E5" s="8">
        <v>68820.740000000005</v>
      </c>
      <c r="H5" s="8"/>
    </row>
    <row r="6" spans="1:8" x14ac:dyDescent="0.35">
      <c r="H6" s="8"/>
    </row>
    <row r="7" spans="1:8" x14ac:dyDescent="0.35">
      <c r="A7" s="27" t="s">
        <v>73</v>
      </c>
      <c r="B7" s="27"/>
      <c r="H7" s="8"/>
    </row>
    <row r="8" spans="1:8" x14ac:dyDescent="0.35">
      <c r="A8" t="s">
        <v>70</v>
      </c>
      <c r="B8" s="26">
        <v>36884.769999999997</v>
      </c>
      <c r="C8" s="8">
        <v>43958.31</v>
      </c>
      <c r="D8" s="8">
        <v>51668.76</v>
      </c>
      <c r="E8" s="8">
        <v>59315.99</v>
      </c>
      <c r="H8" s="8"/>
    </row>
    <row r="9" spans="1:8" x14ac:dyDescent="0.35">
      <c r="A9" t="s">
        <v>71</v>
      </c>
      <c r="B9" s="26">
        <v>-500.82</v>
      </c>
      <c r="C9">
        <v>-683.77</v>
      </c>
      <c r="D9" s="8">
        <v>-1117.06</v>
      </c>
      <c r="E9">
        <v>-856.26</v>
      </c>
      <c r="H9" s="8"/>
    </row>
    <row r="10" spans="1:8" x14ac:dyDescent="0.35">
      <c r="A10" t="s">
        <v>72</v>
      </c>
      <c r="B10" s="26">
        <v>746.97</v>
      </c>
      <c r="C10">
        <v>906.12</v>
      </c>
      <c r="D10" s="8">
        <v>1165.9000000000001</v>
      </c>
      <c r="E10" s="8">
        <v>1541.48</v>
      </c>
    </row>
    <row r="11" spans="1:8" x14ac:dyDescent="0.35">
      <c r="A11" t="s">
        <v>74</v>
      </c>
      <c r="B11" s="26">
        <v>2071.61</v>
      </c>
      <c r="C11" s="8">
        <v>2504.4</v>
      </c>
      <c r="D11" s="8">
        <v>3153.12</v>
      </c>
      <c r="E11">
        <v>3632.94</v>
      </c>
      <c r="H11" s="8"/>
    </row>
    <row r="12" spans="1:8" x14ac:dyDescent="0.35">
      <c r="A12" s="7" t="s">
        <v>75</v>
      </c>
      <c r="B12" s="26">
        <f>SUM(B8:B11)</f>
        <v>39202.53</v>
      </c>
      <c r="C12" s="8">
        <f>SUM(C8:C11)</f>
        <v>46685.060000000005</v>
      </c>
      <c r="D12" s="8">
        <f>SUM(D8:D11)</f>
        <v>54870.720000000008</v>
      </c>
      <c r="E12" s="8">
        <f>SUM(E8:E11)</f>
        <v>63634.15</v>
      </c>
      <c r="H12" s="8"/>
    </row>
    <row r="13" spans="1:8" x14ac:dyDescent="0.35">
      <c r="H13" s="8"/>
    </row>
    <row r="14" spans="1:8" s="21" customFormat="1" ht="16" x14ac:dyDescent="0.4">
      <c r="A14" s="28" t="s">
        <v>76</v>
      </c>
      <c r="B14" s="29">
        <f>B5-B12</f>
        <v>3637.0299999999988</v>
      </c>
      <c r="C14" s="29">
        <f>C5-C12</f>
        <v>4103.7699999999968</v>
      </c>
      <c r="D14" s="29">
        <f>D5-D12</f>
        <v>4487.3299999999945</v>
      </c>
      <c r="E14" s="29">
        <f>E5-E12</f>
        <v>5186.5900000000038</v>
      </c>
      <c r="H14" s="29"/>
    </row>
    <row r="15" spans="1:8" x14ac:dyDescent="0.35">
      <c r="A15" t="s">
        <v>77</v>
      </c>
      <c r="B15" s="26">
        <v>638.87</v>
      </c>
      <c r="C15">
        <v>730.76</v>
      </c>
      <c r="D15">
        <v>869.52</v>
      </c>
      <c r="E15" s="8">
        <v>1037.02</v>
      </c>
      <c r="H15" s="8"/>
    </row>
    <row r="16" spans="1:8" x14ac:dyDescent="0.35">
      <c r="H16" s="8"/>
    </row>
    <row r="17" spans="1:8" s="11" customFormat="1" ht="16" x14ac:dyDescent="0.4">
      <c r="A17" s="35" t="s">
        <v>121</v>
      </c>
      <c r="B17" s="12">
        <f>B14-B15</f>
        <v>2998.1599999999989</v>
      </c>
      <c r="C17" s="12">
        <f>C14-C15</f>
        <v>3373.0099999999966</v>
      </c>
      <c r="D17" s="12">
        <f>D14-D15</f>
        <v>3617.8099999999945</v>
      </c>
      <c r="E17" s="12">
        <f>E14-E15</f>
        <v>4149.5700000000033</v>
      </c>
    </row>
    <row r="18" spans="1:8" x14ac:dyDescent="0.35">
      <c r="A18" t="s">
        <v>80</v>
      </c>
      <c r="B18" s="26">
        <v>67.41</v>
      </c>
      <c r="C18">
        <v>-58.13</v>
      </c>
      <c r="D18">
        <v>-69.45</v>
      </c>
      <c r="E18" s="8">
        <v>-142.05000000000001</v>
      </c>
      <c r="H18" s="8"/>
    </row>
    <row r="19" spans="1:8" x14ac:dyDescent="0.35">
      <c r="A19" t="s">
        <v>79</v>
      </c>
      <c r="B19" s="26">
        <v>129.34</v>
      </c>
      <c r="C19">
        <v>146.44999999999999</v>
      </c>
      <c r="D19" s="8">
        <v>124.31</v>
      </c>
      <c r="E19" s="8">
        <v>74.099999999999994</v>
      </c>
      <c r="H19" s="8"/>
    </row>
    <row r="20" spans="1:8" x14ac:dyDescent="0.35">
      <c r="A20" s="27"/>
      <c r="B20" s="27"/>
      <c r="H20" s="8"/>
    </row>
    <row r="21" spans="1:8" s="7" customFormat="1" x14ac:dyDescent="0.35">
      <c r="A21" s="7" t="s">
        <v>81</v>
      </c>
      <c r="B21" s="30">
        <f>B17+B19-B18</f>
        <v>3060.0899999999992</v>
      </c>
      <c r="C21" s="17">
        <f>SUM(C17:C19)</f>
        <v>3461.3299999999963</v>
      </c>
      <c r="D21" s="17">
        <f>SUM(D17:D19)</f>
        <v>3672.6699999999946</v>
      </c>
      <c r="E21" s="17">
        <f>SUM(E17:E19)</f>
        <v>4081.6200000000031</v>
      </c>
      <c r="H21" s="17"/>
    </row>
    <row r="22" spans="1:8" x14ac:dyDescent="0.35">
      <c r="A22" s="31" t="s">
        <v>82</v>
      </c>
      <c r="B22" s="32">
        <v>681.75</v>
      </c>
      <c r="C22">
        <v>925.72</v>
      </c>
      <c r="D22">
        <v>965.22</v>
      </c>
      <c r="E22" s="8">
        <v>1111.76</v>
      </c>
      <c r="H22" s="8"/>
    </row>
    <row r="23" spans="1:8" s="7" customFormat="1" x14ac:dyDescent="0.35">
      <c r="B23" s="30"/>
      <c r="C23" s="17"/>
      <c r="D23" s="17"/>
      <c r="H23" s="17"/>
    </row>
    <row r="24" spans="1:8" s="7" customFormat="1" x14ac:dyDescent="0.35">
      <c r="A24" s="7" t="s">
        <v>83</v>
      </c>
      <c r="B24" s="30">
        <f>B21-B22</f>
        <v>2378.3399999999992</v>
      </c>
      <c r="C24" s="17">
        <f>C21-C22</f>
        <v>2535.609999999996</v>
      </c>
      <c r="D24" s="17">
        <f>D21-D22</f>
        <v>2707.4499999999944</v>
      </c>
      <c r="E24" s="17">
        <f>E21-E22</f>
        <v>2969.8600000000033</v>
      </c>
      <c r="H24" s="17"/>
    </row>
    <row r="25" spans="1:8" x14ac:dyDescent="0.35">
      <c r="A25" t="s">
        <v>84</v>
      </c>
      <c r="B25" s="26"/>
      <c r="C25">
        <v>-8.81</v>
      </c>
      <c r="D25">
        <v>-8.81</v>
      </c>
      <c r="E25" s="8">
        <v>-5.48</v>
      </c>
      <c r="H25" s="8"/>
    </row>
    <row r="26" spans="1:8" s="9" customFormat="1" x14ac:dyDescent="0.35">
      <c r="A26" s="9" t="s">
        <v>85</v>
      </c>
      <c r="B26" s="36">
        <f>B24</f>
        <v>2378.3399999999992</v>
      </c>
      <c r="C26" s="10">
        <f>C24+C25</f>
        <v>2526.7999999999961</v>
      </c>
      <c r="D26" s="10">
        <f>D24+D25</f>
        <v>2698.6399999999944</v>
      </c>
      <c r="E26" s="10">
        <f>E24+E25</f>
        <v>2964.3800000000033</v>
      </c>
      <c r="H26" s="10"/>
    </row>
    <row r="27" spans="1:8" x14ac:dyDescent="0.35">
      <c r="H27" s="8"/>
    </row>
    <row r="28" spans="1:8" x14ac:dyDescent="0.35">
      <c r="B28" s="19"/>
      <c r="C28" s="19"/>
      <c r="D28" s="19"/>
      <c r="E28" s="40"/>
      <c r="H28" s="8"/>
    </row>
    <row r="29" spans="1:8" x14ac:dyDescent="0.35">
      <c r="H29" s="8"/>
    </row>
  </sheetData>
  <mergeCells count="1">
    <mergeCell ref="A1:F2"/>
  </mergeCells>
  <phoneticPr fontId="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5128-3B6A-4BFC-B7FC-160052B22BB0}">
  <dimension ref="A1:H26"/>
  <sheetViews>
    <sheetView workbookViewId="0">
      <selection activeCell="B4" sqref="B4"/>
    </sheetView>
  </sheetViews>
  <sheetFormatPr defaultRowHeight="14.5" x14ac:dyDescent="0.35"/>
  <cols>
    <col min="1" max="1" width="33.81640625" bestFit="1" customWidth="1"/>
    <col min="2" max="2" width="10.453125" customWidth="1"/>
    <col min="3" max="3" width="10.54296875" customWidth="1"/>
    <col min="4" max="4" width="12.08984375" customWidth="1"/>
    <col min="5" max="5" width="11" customWidth="1"/>
  </cols>
  <sheetData>
    <row r="1" spans="1:8" ht="14.5" customHeight="1" x14ac:dyDescent="0.55000000000000004">
      <c r="A1" s="201" t="s">
        <v>86</v>
      </c>
      <c r="B1" s="201"/>
      <c r="C1" s="201"/>
      <c r="D1" s="38"/>
      <c r="E1" s="38"/>
      <c r="F1" s="38"/>
      <c r="G1" s="38"/>
      <c r="H1" s="38"/>
    </row>
    <row r="2" spans="1:8" ht="14.5" customHeight="1" x14ac:dyDescent="0.55000000000000004">
      <c r="A2" s="201"/>
      <c r="B2" s="201"/>
      <c r="C2" s="201"/>
      <c r="D2" s="38"/>
      <c r="E2" s="38"/>
      <c r="F2" s="38"/>
      <c r="G2" s="38"/>
      <c r="H2" s="38"/>
    </row>
    <row r="4" spans="1:8" x14ac:dyDescent="0.35">
      <c r="A4" s="25" t="s">
        <v>17</v>
      </c>
      <c r="B4" s="25" t="s">
        <v>30</v>
      </c>
      <c r="C4" s="25" t="s">
        <v>31</v>
      </c>
      <c r="D4" s="25" t="s">
        <v>63</v>
      </c>
      <c r="E4" s="25" t="s">
        <v>64</v>
      </c>
    </row>
    <row r="5" spans="1:8" x14ac:dyDescent="0.35">
      <c r="A5" t="s">
        <v>69</v>
      </c>
      <c r="B5" s="19">
        <f>'income statement'!B5/'income statement'!B5</f>
        <v>1</v>
      </c>
      <c r="C5" s="19">
        <f>'income statement'!C5/'income statement'!C5</f>
        <v>1</v>
      </c>
      <c r="D5" s="19">
        <f>'income statement'!D5/'income statement'!D5</f>
        <v>1</v>
      </c>
      <c r="E5" s="19">
        <f>'income statement'!E5/'income statement'!E5</f>
        <v>1</v>
      </c>
    </row>
    <row r="7" spans="1:8" x14ac:dyDescent="0.35">
      <c r="A7" s="27" t="s">
        <v>73</v>
      </c>
    </row>
    <row r="8" spans="1:8" x14ac:dyDescent="0.35">
      <c r="A8" t="s">
        <v>70</v>
      </c>
      <c r="B8" s="19">
        <f>'income statement'!B8/'income statement'!$B$5</f>
        <v>0.86099787206031053</v>
      </c>
      <c r="C8" s="19">
        <f>'income statement'!C8/'income statement'!$C$5</f>
        <v>0.86551137326849226</v>
      </c>
      <c r="D8" s="19">
        <f>'income statement'!D8/'income statement'!$D$5</f>
        <v>0.87045918792817489</v>
      </c>
      <c r="E8" s="19">
        <f>'income statement'!E8/'income statement'!$E$5</f>
        <v>0.86189119733382691</v>
      </c>
    </row>
    <row r="9" spans="1:8" x14ac:dyDescent="0.35">
      <c r="A9" t="s">
        <v>71</v>
      </c>
      <c r="B9" s="19">
        <f>'income statement'!B9/'income statement'!$B$5</f>
        <v>-1.169059626195974E-2</v>
      </c>
      <c r="C9" s="19">
        <f>'income statement'!C9/'income statement'!$C$5</f>
        <v>-1.3462999639881446E-2</v>
      </c>
      <c r="D9" s="19">
        <f>'income statement'!D9/'income statement'!$D$5</f>
        <v>-1.8819014438648168E-2</v>
      </c>
      <c r="E9" s="19">
        <f>'income statement'!E9/'income statement'!$E$5</f>
        <v>-1.2441888884077677E-2</v>
      </c>
    </row>
    <row r="10" spans="1:8" x14ac:dyDescent="0.35">
      <c r="A10" t="s">
        <v>72</v>
      </c>
      <c r="B10" s="19">
        <f>'income statement'!B10/'income statement'!$B$5</f>
        <v>1.7436453595695196E-2</v>
      </c>
      <c r="C10" s="19">
        <f>'income statement'!C10/'income statement'!$C$5</f>
        <v>1.784093077158895E-2</v>
      </c>
      <c r="D10" s="19">
        <f>'income statement'!D10/'income statement'!$D$5</f>
        <v>1.9641817748393017E-2</v>
      </c>
      <c r="E10" s="19">
        <f>'income statement'!E10/'income statement'!$E$5</f>
        <v>2.2398480458071215E-2</v>
      </c>
    </row>
    <row r="11" spans="1:8" x14ac:dyDescent="0.35">
      <c r="A11" t="s">
        <v>74</v>
      </c>
      <c r="B11" s="19">
        <f>'income statement'!B11/'income statement'!$B$5</f>
        <v>4.8357406098475338E-2</v>
      </c>
      <c r="C11" s="19">
        <f>'income statement'!C11/'income statement'!$C$5</f>
        <v>4.9310054986499985E-2</v>
      </c>
      <c r="D11" s="19">
        <f>'income statement'!D11/'income statement'!$D$5</f>
        <v>5.3120343407507487E-2</v>
      </c>
      <c r="E11" s="19">
        <f>'income statement'!E11/'income statement'!$E$5</f>
        <v>5.2788447203561017E-2</v>
      </c>
    </row>
    <row r="12" spans="1:8" x14ac:dyDescent="0.35">
      <c r="A12" s="7" t="s">
        <v>75</v>
      </c>
      <c r="B12" s="19">
        <f>'income statement'!B12/'income statement'!$B$5</f>
        <v>0.91510113549252137</v>
      </c>
      <c r="C12" s="19">
        <f>'income statement'!C12/'income statement'!$C$5</f>
        <v>0.91919935938669983</v>
      </c>
      <c r="D12" s="19">
        <f>'income statement'!D12/'income statement'!$D$5</f>
        <v>0.92440233464542731</v>
      </c>
      <c r="E12" s="19">
        <f>'income statement'!E12/'income statement'!$E$5</f>
        <v>0.92463623611138146</v>
      </c>
    </row>
    <row r="13" spans="1:8" x14ac:dyDescent="0.35">
      <c r="B13" s="19"/>
      <c r="C13" s="19"/>
      <c r="D13" s="19"/>
      <c r="E13" s="19"/>
    </row>
    <row r="14" spans="1:8" s="21" customFormat="1" x14ac:dyDescent="0.35">
      <c r="A14" s="21" t="s">
        <v>76</v>
      </c>
      <c r="B14" s="22">
        <f>'income statement'!B14/'income statement'!$B$5</f>
        <v>8.4898864507478577E-2</v>
      </c>
      <c r="C14" s="22">
        <f>'income statement'!C14/'income statement'!$C$5</f>
        <v>8.080064061330014E-2</v>
      </c>
      <c r="D14" s="22">
        <f>'income statement'!D14/'income statement'!$D$5</f>
        <v>7.5597665354572699E-2</v>
      </c>
      <c r="E14" s="22">
        <f>'income statement'!E14/'income statement'!$E$5</f>
        <v>7.5363763888618512E-2</v>
      </c>
    </row>
    <row r="15" spans="1:8" x14ac:dyDescent="0.35">
      <c r="A15" t="s">
        <v>77</v>
      </c>
      <c r="B15" s="19">
        <f>-'income statement'!B15/'income statement'!$B$5</f>
        <v>-1.4913085008342757E-2</v>
      </c>
      <c r="C15" s="19">
        <f>-'income statement'!C15/'income statement'!$C$5</f>
        <v>-1.4388203075361254E-2</v>
      </c>
      <c r="D15" s="19">
        <f>-'income statement'!D15/'income statement'!$D$5</f>
        <v>-1.4648729195113383E-2</v>
      </c>
      <c r="E15" s="19">
        <f>-'income statement'!E15/'income statement'!$E$5</f>
        <v>-1.5068422687695598E-2</v>
      </c>
    </row>
    <row r="16" spans="1:8" x14ac:dyDescent="0.35">
      <c r="B16" s="19"/>
      <c r="C16" s="19"/>
      <c r="D16" s="19"/>
      <c r="E16" s="19"/>
    </row>
    <row r="17" spans="1:7" s="21" customFormat="1" x14ac:dyDescent="0.35">
      <c r="A17" s="21" t="s">
        <v>78</v>
      </c>
      <c r="B17" s="22">
        <f>'income statement'!B17/'income statement'!$B$5</f>
        <v>6.9985779499135828E-2</v>
      </c>
      <c r="C17" s="22">
        <f>'income statement'!C17/'income statement'!$C$5</f>
        <v>6.6412437537938879E-2</v>
      </c>
      <c r="D17" s="22">
        <f>'income statement'!D17/'income statement'!$D$5</f>
        <v>6.0948936159459323E-2</v>
      </c>
      <c r="E17" s="22">
        <f>'income statement'!E17/'income statement'!$E$5</f>
        <v>6.0295341200922906E-2</v>
      </c>
      <c r="G17" s="22"/>
    </row>
    <row r="18" spans="1:7" x14ac:dyDescent="0.35">
      <c r="A18" t="s">
        <v>80</v>
      </c>
      <c r="B18" s="19">
        <f>'income statement'!B18/'income statement'!$B$5</f>
        <v>1.5735455732972048E-3</v>
      </c>
      <c r="C18" s="19">
        <f>'income statement'!C18/'income statement'!$C$5</f>
        <v>-1.1445430028610621E-3</v>
      </c>
      <c r="D18" s="19">
        <f>'income statement'!D18/'income statement'!$D$5</f>
        <v>-1.170018219938155E-3</v>
      </c>
      <c r="E18" s="19">
        <f>'income statement'!E18/'income statement'!$E$5</f>
        <v>-2.0640580150692945E-3</v>
      </c>
    </row>
    <row r="19" spans="1:7" x14ac:dyDescent="0.35">
      <c r="A19" t="s">
        <v>79</v>
      </c>
      <c r="B19" s="19">
        <f>'income statement'!B19/'income statement'!$B$5</f>
        <v>3.0191719989654427E-3</v>
      </c>
      <c r="C19" s="19">
        <f>'income statement'!C19/'income statement'!$C$5</f>
        <v>2.8835080469465429E-3</v>
      </c>
      <c r="D19" s="19">
        <f>'income statement'!D19/'income statement'!$D$5</f>
        <v>2.0942399556589208E-3</v>
      </c>
      <c r="E19" s="19">
        <f>'income statement'!E19/'income statement'!$E$5</f>
        <v>1.0767103056433277E-3</v>
      </c>
    </row>
    <row r="20" spans="1:7" x14ac:dyDescent="0.35">
      <c r="A20" s="27"/>
      <c r="B20" s="19"/>
      <c r="C20" s="19"/>
      <c r="D20" s="19"/>
      <c r="E20" s="19"/>
    </row>
    <row r="21" spans="1:7" x14ac:dyDescent="0.35">
      <c r="A21" s="7" t="s">
        <v>81</v>
      </c>
      <c r="B21" s="19">
        <f>'income statement'!B21/'income statement'!$B$5</f>
        <v>7.143140592480407E-2</v>
      </c>
      <c r="C21" s="19">
        <f>'income statement'!C21/'income statement'!$C$5</f>
        <v>6.8151402582024359E-2</v>
      </c>
      <c r="D21" s="19">
        <f>'income statement'!D21/'income statement'!$D$5</f>
        <v>6.1873157895180088E-2</v>
      </c>
      <c r="E21" s="19">
        <f>'income statement'!E21/'income statement'!$E$5</f>
        <v>5.9307993491496937E-2</v>
      </c>
    </row>
    <row r="22" spans="1:7" x14ac:dyDescent="0.35">
      <c r="A22" s="31" t="s">
        <v>82</v>
      </c>
      <c r="B22" s="19">
        <f>'income statement'!B22/'income statement'!$B$5</f>
        <v>1.5914028995629274E-2</v>
      </c>
      <c r="C22" s="19">
        <f>'income statement'!C22/'income statement'!$C$5</f>
        <v>1.8226842398220238E-2</v>
      </c>
      <c r="D22" s="19">
        <f>'income statement'!D22/'income statement'!$D$5</f>
        <v>1.6260978923667471E-2</v>
      </c>
      <c r="E22" s="19">
        <f>'income statement'!E22/'income statement'!$E$5</f>
        <v>1.6154432515546911E-2</v>
      </c>
    </row>
    <row r="23" spans="1:7" x14ac:dyDescent="0.35">
      <c r="A23" s="7"/>
      <c r="B23" s="19"/>
      <c r="C23" s="19"/>
      <c r="D23" s="19"/>
      <c r="E23" s="19"/>
    </row>
    <row r="24" spans="1:7" x14ac:dyDescent="0.35">
      <c r="A24" s="7" t="s">
        <v>83</v>
      </c>
      <c r="B24" s="19">
        <f>'income statement'!B24/'income statement'!$B$5</f>
        <v>5.5517376929174793E-2</v>
      </c>
      <c r="C24" s="19">
        <f>'income statement'!C24/'income statement'!$C$5</f>
        <v>4.9924560183804118E-2</v>
      </c>
      <c r="D24" s="19">
        <f>'income statement'!D24/'income statement'!$D$5</f>
        <v>4.561217897151261E-2</v>
      </c>
      <c r="E24" s="19">
        <f>'income statement'!E24/'income statement'!$E$5</f>
        <v>4.315356097595003E-2</v>
      </c>
    </row>
    <row r="25" spans="1:7" x14ac:dyDescent="0.35">
      <c r="A25" t="s">
        <v>84</v>
      </c>
      <c r="B25" s="19">
        <f>'income statement'!B25/'income statement'!$B$5</f>
        <v>0</v>
      </c>
      <c r="C25" s="19">
        <f>'income statement'!C25/'income statement'!$C$5</f>
        <v>-1.7346333829702318E-4</v>
      </c>
      <c r="D25" s="19">
        <f>'income statement'!D25/'income statement'!$D$5</f>
        <v>-1.4842131774881419E-4</v>
      </c>
      <c r="E25" s="19">
        <f>'income statement'!E25/'income statement'!$E$5</f>
        <v>-7.9627158905876334E-5</v>
      </c>
    </row>
    <row r="26" spans="1:7" s="9" customFormat="1" x14ac:dyDescent="0.35">
      <c r="A26" s="9" t="s">
        <v>85</v>
      </c>
      <c r="B26" s="20">
        <f>'income statement'!B26/'income statement'!$B$5</f>
        <v>5.5517376929174793E-2</v>
      </c>
      <c r="C26" s="20">
        <f>'income statement'!C26/'income statement'!$C$5</f>
        <v>4.975109684550709E-2</v>
      </c>
      <c r="D26" s="20">
        <f>'income statement'!D26/'income statement'!$D$5</f>
        <v>4.5463757653763801E-2</v>
      </c>
      <c r="E26" s="20">
        <f>'income statement'!E26/'income statement'!$E$5</f>
        <v>4.3073933817044149E-2</v>
      </c>
    </row>
  </sheetData>
  <mergeCells count="1">
    <mergeCell ref="A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4FA5-1F5D-48BB-AABA-E747E5E9E25C}">
  <dimension ref="A1:F13"/>
  <sheetViews>
    <sheetView workbookViewId="0">
      <selection activeCell="E7" sqref="E7"/>
    </sheetView>
  </sheetViews>
  <sheetFormatPr defaultRowHeight="14.5" x14ac:dyDescent="0.35"/>
  <cols>
    <col min="1" max="1" width="31.453125" bestFit="1" customWidth="1"/>
    <col min="2" max="2" width="12.08984375" customWidth="1"/>
    <col min="3" max="3" width="11.7265625" customWidth="1"/>
    <col min="4" max="4" width="12.36328125" customWidth="1"/>
    <col min="5" max="5" width="11.6328125" customWidth="1"/>
  </cols>
  <sheetData>
    <row r="1" spans="1:6" x14ac:dyDescent="0.35">
      <c r="A1" s="201" t="s">
        <v>87</v>
      </c>
      <c r="B1" s="201"/>
      <c r="C1" s="201"/>
      <c r="D1" s="201"/>
      <c r="E1" s="201"/>
      <c r="F1" s="201"/>
    </row>
    <row r="2" spans="1:6" x14ac:dyDescent="0.35">
      <c r="A2" s="201"/>
      <c r="B2" s="201"/>
      <c r="C2" s="201"/>
      <c r="D2" s="201"/>
      <c r="E2" s="201"/>
      <c r="F2" s="201"/>
    </row>
    <row r="3" spans="1:6" ht="14.5" customHeight="1" x14ac:dyDescent="0.55000000000000004">
      <c r="A3" s="37"/>
      <c r="B3" s="37"/>
      <c r="C3" s="37"/>
      <c r="D3" s="37"/>
      <c r="E3" s="37"/>
      <c r="F3" s="37"/>
    </row>
    <row r="4" spans="1:6" x14ac:dyDescent="0.35">
      <c r="A4" s="7" t="s">
        <v>17</v>
      </c>
      <c r="B4" s="25" t="s">
        <v>30</v>
      </c>
      <c r="C4" s="25" t="s">
        <v>31</v>
      </c>
      <c r="D4" s="25" t="s">
        <v>63</v>
      </c>
      <c r="E4" s="25" t="s">
        <v>64</v>
      </c>
    </row>
    <row r="5" spans="1:6" x14ac:dyDescent="0.35">
      <c r="A5" t="s">
        <v>88</v>
      </c>
      <c r="B5" s="8">
        <v>2630.27</v>
      </c>
      <c r="C5" s="8">
        <v>2745.84</v>
      </c>
      <c r="D5" s="8">
        <v>2462.9699999999998</v>
      </c>
      <c r="E5" s="8">
        <v>3466.74</v>
      </c>
    </row>
    <row r="6" spans="1:6" x14ac:dyDescent="0.35">
      <c r="B6" s="8"/>
      <c r="C6" s="8"/>
      <c r="D6" s="8"/>
      <c r="E6" s="8"/>
    </row>
    <row r="7" spans="1:6" x14ac:dyDescent="0.35">
      <c r="A7" t="s">
        <v>89</v>
      </c>
      <c r="B7" s="8">
        <v>2211.4899999999998</v>
      </c>
      <c r="C7" s="8">
        <v>2731.04</v>
      </c>
      <c r="D7" s="8">
        <v>3423.04</v>
      </c>
      <c r="E7" s="8">
        <v>4113.3500000000004</v>
      </c>
    </row>
    <row r="8" spans="1:6" x14ac:dyDescent="0.35">
      <c r="A8" t="s">
        <v>90</v>
      </c>
      <c r="B8" s="8">
        <f>B5-B7</f>
        <v>418.7800000000002</v>
      </c>
      <c r="C8" s="8">
        <f t="shared" ref="C8:E8" si="0">C5-C7</f>
        <v>14.800000000000182</v>
      </c>
      <c r="D8" s="8">
        <f t="shared" si="0"/>
        <v>-960.07000000000016</v>
      </c>
      <c r="E8" s="8">
        <f t="shared" si="0"/>
        <v>-646.61000000000058</v>
      </c>
    </row>
    <row r="10" spans="1:6" x14ac:dyDescent="0.35">
      <c r="D10" s="8"/>
      <c r="E10" s="8"/>
    </row>
    <row r="11" spans="1:6" x14ac:dyDescent="0.35">
      <c r="C11" s="8"/>
    </row>
    <row r="13" spans="1:6" x14ac:dyDescent="0.35">
      <c r="B13" s="8"/>
      <c r="C13" s="8"/>
    </row>
  </sheetData>
  <mergeCells count="1">
    <mergeCell ref="A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EE1A-CFF4-4487-A6E8-04203A967961}">
  <dimension ref="A1:G40"/>
  <sheetViews>
    <sheetView topLeftCell="A34" workbookViewId="0">
      <selection activeCell="D5" sqref="D5"/>
    </sheetView>
  </sheetViews>
  <sheetFormatPr defaultRowHeight="16" x14ac:dyDescent="0.4"/>
  <cols>
    <col min="1" max="1" width="28.6328125" style="39" bestFit="1" customWidth="1"/>
    <col min="2" max="2" width="14.26953125" customWidth="1"/>
    <col min="3" max="3" width="14.453125" customWidth="1"/>
    <col min="4" max="4" width="13.08984375" customWidth="1"/>
    <col min="5" max="5" width="13.1796875" customWidth="1"/>
    <col min="6" max="6" width="3.81640625" customWidth="1"/>
    <col min="7" max="7" width="13.26953125" bestFit="1" customWidth="1"/>
  </cols>
  <sheetData>
    <row r="1" spans="1:5" ht="14.5" x14ac:dyDescent="0.35">
      <c r="A1" s="201" t="s">
        <v>91</v>
      </c>
      <c r="B1" s="201"/>
      <c r="C1" s="201"/>
      <c r="D1" s="201"/>
    </row>
    <row r="2" spans="1:5" ht="14.5" x14ac:dyDescent="0.35">
      <c r="A2" s="201"/>
      <c r="B2" s="201"/>
      <c r="C2" s="201"/>
      <c r="D2" s="201"/>
    </row>
    <row r="4" spans="1:5" x14ac:dyDescent="0.4">
      <c r="A4" s="39" t="s">
        <v>17</v>
      </c>
      <c r="B4" s="25" t="s">
        <v>30</v>
      </c>
      <c r="C4" s="25" t="s">
        <v>31</v>
      </c>
      <c r="D4" s="25" t="s">
        <v>63</v>
      </c>
      <c r="E4" s="25" t="s">
        <v>64</v>
      </c>
    </row>
    <row r="5" spans="1:5" x14ac:dyDescent="0.4">
      <c r="A5" s="39" t="s">
        <v>102</v>
      </c>
      <c r="B5">
        <f>'income statement'!B5</f>
        <v>42839.56</v>
      </c>
      <c r="C5">
        <f>'income statement'!C5</f>
        <v>50788.83</v>
      </c>
      <c r="D5">
        <f>'income statement'!D5</f>
        <v>59358.05</v>
      </c>
      <c r="E5">
        <f>'income statement'!E5</f>
        <v>68820.740000000005</v>
      </c>
    </row>
    <row r="7" spans="1:5" x14ac:dyDescent="0.4">
      <c r="A7" s="39" t="s">
        <v>92</v>
      </c>
      <c r="B7" s="19">
        <f>(B5-31976.27)/31976.27</f>
        <v>0.33972974333779382</v>
      </c>
      <c r="C7" s="19">
        <f xml:space="preserve"> (C5-B5)/B5</f>
        <v>0.18555909537819726</v>
      </c>
      <c r="D7" s="19">
        <f>(D5-C5)/C5</f>
        <v>0.16872253210007004</v>
      </c>
      <c r="E7" s="19">
        <f>(E5-D5)/D5</f>
        <v>0.15941713044818692</v>
      </c>
    </row>
    <row r="8" spans="1:5" x14ac:dyDescent="0.4">
      <c r="A8" s="39" t="s">
        <v>105</v>
      </c>
      <c r="B8">
        <v>6455.6100000000006</v>
      </c>
      <c r="C8">
        <v>7514.2900000000009</v>
      </c>
      <c r="D8">
        <v>8806.3499999999985</v>
      </c>
      <c r="E8">
        <v>10361.010000000009</v>
      </c>
    </row>
    <row r="9" spans="1:5" x14ac:dyDescent="0.4">
      <c r="A9" s="39" t="s">
        <v>115</v>
      </c>
      <c r="B9" s="19"/>
      <c r="C9" s="19"/>
      <c r="D9" s="19">
        <f>('income statement'!D5/'income statement'!B5)^(1/3)-1</f>
        <v>0.11483742940156971</v>
      </c>
      <c r="E9" s="19">
        <f>('income statement'!E5/'income statement'!B5)^(1/4)-1</f>
        <v>0.12581902675964263</v>
      </c>
    </row>
    <row r="11" spans="1:5" x14ac:dyDescent="0.4">
      <c r="A11" s="5" t="s">
        <v>93</v>
      </c>
    </row>
    <row r="12" spans="1:5" x14ac:dyDescent="0.4">
      <c r="A12" s="39" t="s">
        <v>94</v>
      </c>
      <c r="B12">
        <v>5448.39</v>
      </c>
      <c r="C12">
        <v>6202.0300000000007</v>
      </c>
      <c r="D12">
        <v>6392.1999999999989</v>
      </c>
      <c r="E12">
        <v>7477.7800000000007</v>
      </c>
    </row>
    <row r="13" spans="1:5" x14ac:dyDescent="0.4">
      <c r="A13" s="39" t="s">
        <v>95</v>
      </c>
      <c r="B13">
        <v>1467.01</v>
      </c>
      <c r="C13">
        <v>1979.1399999999999</v>
      </c>
      <c r="D13">
        <v>2212.16</v>
      </c>
      <c r="E13">
        <v>3782.26</v>
      </c>
    </row>
    <row r="14" spans="1:5" x14ac:dyDescent="0.4">
      <c r="A14" s="5" t="s">
        <v>96</v>
      </c>
      <c r="B14" s="40">
        <f>B12/B13</f>
        <v>3.7139419635857971</v>
      </c>
      <c r="C14" s="40">
        <f t="shared" ref="C14:E14" si="0">C12/C13</f>
        <v>3.1336994856351752</v>
      </c>
      <c r="D14" s="40">
        <f t="shared" si="0"/>
        <v>2.8895739910313898</v>
      </c>
      <c r="E14" s="40">
        <f t="shared" si="0"/>
        <v>1.9770666215437331</v>
      </c>
    </row>
    <row r="16" spans="1:5" x14ac:dyDescent="0.4">
      <c r="A16" s="5" t="s">
        <v>97</v>
      </c>
    </row>
    <row r="17" spans="1:7" x14ac:dyDescent="0.4">
      <c r="A17" s="5" t="s">
        <v>76</v>
      </c>
      <c r="B17" s="8">
        <f>'income statement'!B14</f>
        <v>3637.0299999999988</v>
      </c>
      <c r="C17" s="8">
        <f>'income statement'!C14</f>
        <v>4103.7699999999968</v>
      </c>
      <c r="D17" s="8">
        <f>'income statement'!D14</f>
        <v>4487.3299999999945</v>
      </c>
      <c r="E17" s="8">
        <f>'income statement'!E14</f>
        <v>5186.5900000000038</v>
      </c>
    </row>
    <row r="18" spans="1:7" x14ac:dyDescent="0.4">
      <c r="A18" s="5" t="s">
        <v>98</v>
      </c>
      <c r="B18" s="19">
        <f>B17/B5</f>
        <v>8.4898864507478577E-2</v>
      </c>
      <c r="C18" s="19">
        <f t="shared" ref="C18:E18" si="1">C17/C5</f>
        <v>8.080064061330014E-2</v>
      </c>
      <c r="D18" s="19">
        <f t="shared" si="1"/>
        <v>7.5597665354572699E-2</v>
      </c>
      <c r="E18" s="19">
        <f t="shared" si="1"/>
        <v>7.5363763888618512E-2</v>
      </c>
    </row>
    <row r="19" spans="1:7" x14ac:dyDescent="0.4">
      <c r="A19" s="5" t="s">
        <v>106</v>
      </c>
      <c r="B19" s="19">
        <v>0.15069272420164914</v>
      </c>
      <c r="C19" s="19">
        <v>0.14795162637138914</v>
      </c>
      <c r="D19" s="19">
        <v>0.14835982651047327</v>
      </c>
      <c r="E19" s="19">
        <v>0.15055069155025083</v>
      </c>
    </row>
    <row r="20" spans="1:7" x14ac:dyDescent="0.4">
      <c r="A20" s="5" t="s">
        <v>107</v>
      </c>
      <c r="B20" s="19">
        <f>'income statement'!B26/'income statement'!B5</f>
        <v>5.5517376929174793E-2</v>
      </c>
      <c r="C20" s="19">
        <f>'income statement'!C26/'income statement'!C5</f>
        <v>4.975109684550709E-2</v>
      </c>
      <c r="D20" s="19">
        <f>'income statement'!D26/'income statement'!D5</f>
        <v>4.5463757653763801E-2</v>
      </c>
      <c r="E20" s="19">
        <f>'income statement'!E26/'income statement'!E5</f>
        <v>4.3073933817044149E-2</v>
      </c>
    </row>
    <row r="21" spans="1:7" x14ac:dyDescent="0.4">
      <c r="A21" s="5"/>
      <c r="B21" s="19"/>
      <c r="C21" s="19"/>
      <c r="D21" s="19"/>
      <c r="E21" s="19"/>
    </row>
    <row r="23" spans="1:7" x14ac:dyDescent="0.4">
      <c r="A23" s="5" t="s">
        <v>99</v>
      </c>
      <c r="B23" s="19">
        <f>'income statement'!B26/('Balance Sheet'!B50+'Balance Sheet'!B49)</f>
        <v>0.1479186750172588</v>
      </c>
      <c r="C23" s="19">
        <f>'income statement'!C26/('Balance Sheet'!C50+'Balance Sheet'!C49)</f>
        <v>0.1351387487953139</v>
      </c>
      <c r="D23" s="19">
        <f>'income statement'!D26/('Balance Sheet'!D50+'Balance Sheet'!D49)</f>
        <v>0.12594136108550802</v>
      </c>
      <c r="E23" s="19">
        <f>'income statement'!E26/('Balance Sheet'!E50+'Balance Sheet'!E49)</f>
        <v>0.12117295426266485</v>
      </c>
    </row>
    <row r="24" spans="1:7" x14ac:dyDescent="0.4">
      <c r="A24" s="39" t="s">
        <v>100</v>
      </c>
      <c r="B24" s="19">
        <f>'income statement'!B26/'Ratio analysis'!B5</f>
        <v>5.5517376929174793E-2</v>
      </c>
      <c r="C24" s="19">
        <f>'income statement'!C26/'Ratio analysis'!C5</f>
        <v>4.975109684550709E-2</v>
      </c>
      <c r="D24" s="19">
        <f>'income statement'!D26/'Ratio analysis'!D5</f>
        <v>4.5463757653763801E-2</v>
      </c>
      <c r="E24" s="19">
        <f>'income statement'!E26/'Ratio analysis'!E5</f>
        <v>4.3073933817044149E-2</v>
      </c>
    </row>
    <row r="25" spans="1:7" x14ac:dyDescent="0.4">
      <c r="A25" s="39" t="s">
        <v>101</v>
      </c>
      <c r="B25" s="19">
        <f>B5/'Balance Sheet'!B29</f>
        <v>2.3660043001630919</v>
      </c>
      <c r="C25" s="19">
        <f>C5/'Balance Sheet'!C29</f>
        <v>2.3982788092854581</v>
      </c>
      <c r="D25" s="19">
        <f>D5/'Balance Sheet'!D29</f>
        <v>2.4406801892576122</v>
      </c>
      <c r="E25" s="19">
        <f>E5/'Balance Sheet'!E29</f>
        <v>2.3309894981279808</v>
      </c>
    </row>
    <row r="26" spans="1:7" x14ac:dyDescent="0.4">
      <c r="A26" s="39" t="s">
        <v>103</v>
      </c>
      <c r="B26" s="19">
        <f>'Balance Sheet'!B29/('Balance Sheet'!B50+'Balance Sheet'!B49)</f>
        <v>1.1261041004558829</v>
      </c>
      <c r="C26" s="19">
        <f>'Balance Sheet'!C29/('Balance Sheet'!C50+'Balance Sheet'!C49)</f>
        <v>1.1326026242631495</v>
      </c>
      <c r="D26" s="19">
        <f>'Balance Sheet'!D29/('Balance Sheet'!D50+'Balance Sheet'!D49)</f>
        <v>1.1349903746310273</v>
      </c>
      <c r="E26" s="19">
        <f>'Balance Sheet'!E29/('Balance Sheet'!E50+'Balance Sheet'!E49)</f>
        <v>1.2068431869797462</v>
      </c>
    </row>
    <row r="27" spans="1:7" x14ac:dyDescent="0.4">
      <c r="A27" s="5"/>
      <c r="B27" s="19"/>
      <c r="C27" s="19"/>
      <c r="D27" s="19"/>
      <c r="E27" s="19"/>
    </row>
    <row r="29" spans="1:7" x14ac:dyDescent="0.4">
      <c r="A29" s="39" t="s">
        <v>104</v>
      </c>
      <c r="B29" s="40">
        <f>'Balance Sheet'!B40/('Balance Sheet'!B50+'Balance Sheet'!B49)</f>
        <v>0</v>
      </c>
      <c r="C29" s="40">
        <f>'Balance Sheet'!C40/('Balance Sheet'!C50+'Balance Sheet'!C49)</f>
        <v>0</v>
      </c>
      <c r="D29" s="40">
        <f>'Balance Sheet'!D40/('Balance Sheet'!D50+'Balance Sheet'!D49)</f>
        <v>0</v>
      </c>
      <c r="E29" s="40">
        <f>'Balance Sheet'!E40/('Balance Sheet'!E50+'Balance Sheet'!E49)</f>
        <v>3.9456688265715717E-2</v>
      </c>
      <c r="F29" s="40"/>
      <c r="G29" s="40"/>
    </row>
    <row r="31" spans="1:7" x14ac:dyDescent="0.4">
      <c r="A31" s="5" t="s">
        <v>108</v>
      </c>
    </row>
    <row r="32" spans="1:7" x14ac:dyDescent="0.4">
      <c r="A32" s="39" t="s">
        <v>109</v>
      </c>
      <c r="B32" s="40">
        <f>( 'income statement'!B8+'income statement'!B9)/(( 3243.48 +2742.66 )/2)</f>
        <v>12.156063840805594</v>
      </c>
      <c r="C32" s="40">
        <f>('income statement'!C8+'income statement'!C9)/(( 3927.31 +3243.54)/2)</f>
        <v>12.069570553002782</v>
      </c>
      <c r="D32" s="40">
        <f>('income statement'!D8+'income statement'!D9)/(( 5044.37 + 3927.31 )/2)</f>
        <v>11.269171437233608</v>
      </c>
      <c r="E32" s="40">
        <f>('income statement'!E8+'income statement'!E9)/((5900.64 + 5044.37)/2)</f>
        <v>10.682444328511348</v>
      </c>
      <c r="G32" t="s">
        <v>110</v>
      </c>
    </row>
    <row r="33" spans="1:5" x14ac:dyDescent="0.4">
      <c r="A33" s="39" t="s">
        <v>126</v>
      </c>
      <c r="B33" s="40">
        <f>'income statement'!B5/(( 15472.64 +'Balance Sheet'!B29)/2)</f>
        <v>2.5515738589645345</v>
      </c>
      <c r="C33" s="40">
        <f>'income statement'!C5/(('Balance Sheet'!B29+'Balance Sheet'!C29)/2)</f>
        <v>2.5857595646415326</v>
      </c>
      <c r="D33" s="40">
        <f>'income statement'!D5/(('Balance Sheet'!D29+'Balance Sheet'!C29)/2)</f>
        <v>2.6092889959424141</v>
      </c>
      <c r="E33" s="40">
        <f>'income statement'!E5/(('Balance Sheet'!E29+'Balance Sheet'!D29)/2)</f>
        <v>2.5562750547641317</v>
      </c>
    </row>
    <row r="35" spans="1:5" x14ac:dyDescent="0.4">
      <c r="A35" s="5" t="s">
        <v>111</v>
      </c>
    </row>
    <row r="36" spans="1:5" x14ac:dyDescent="0.4">
      <c r="A36" s="39" t="s">
        <v>112</v>
      </c>
      <c r="B36" s="19">
        <f>'Cash flow'!B8/'income statement'!B5</f>
        <v>9.7755439131494391E-3</v>
      </c>
      <c r="C36" s="19">
        <f>'Cash flow'!C8/'income statement'!C5</f>
        <v>2.91402656844038E-4</v>
      </c>
      <c r="D36" s="19">
        <f>'Cash flow'!D8/'income statement'!D5</f>
        <v>-1.6174217313405681E-2</v>
      </c>
      <c r="E36" s="19">
        <f>'Cash flow'!E8/'income statement'!E5</f>
        <v>-9.3955688357899164E-3</v>
      </c>
    </row>
    <row r="37" spans="1:5" x14ac:dyDescent="0.4">
      <c r="A37" s="39" t="s">
        <v>113</v>
      </c>
      <c r="B37" s="40">
        <f>'Cash flow'!B5/'income statement'!B26</f>
        <v>1.1059268229100974</v>
      </c>
      <c r="C37" s="40">
        <f>'Cash flow'!C5/'income statement'!C26</f>
        <v>1.086686718378979</v>
      </c>
      <c r="D37" s="40">
        <f>'Cash flow'!D5/'income statement'!D26</f>
        <v>0.91267082678682776</v>
      </c>
      <c r="E37" s="40">
        <f>'Cash flow'!E5/'income statement'!E26</f>
        <v>1.169465453147031</v>
      </c>
    </row>
    <row r="39" spans="1:5" ht="16" customHeight="1" x14ac:dyDescent="0.35">
      <c r="A39" s="203" t="s">
        <v>114</v>
      </c>
      <c r="B39" s="202">
        <f>'Cash flow'!B7/'income statement'!B5</f>
        <v>5.1622612370435174E-2</v>
      </c>
      <c r="C39" s="202">
        <f>'Cash flow'!C7/'income statement'!C5</f>
        <v>5.3772453509954847E-2</v>
      </c>
      <c r="D39" s="202">
        <f>'Cash flow'!D7/'income statement'!D5</f>
        <v>5.7667662600102254E-2</v>
      </c>
      <c r="E39" s="202">
        <f>'Cash flow'!E7/'income statement'!E5</f>
        <v>5.9769046365964681E-2</v>
      </c>
    </row>
    <row r="40" spans="1:5" ht="16" customHeight="1" x14ac:dyDescent="0.35">
      <c r="A40" s="203"/>
      <c r="B40" s="202"/>
      <c r="C40" s="202"/>
      <c r="D40" s="202"/>
      <c r="E40" s="202"/>
    </row>
  </sheetData>
  <mergeCells count="6">
    <mergeCell ref="E39:E40"/>
    <mergeCell ref="A1:D2"/>
    <mergeCell ref="A39:A40"/>
    <mergeCell ref="B39:B40"/>
    <mergeCell ref="C39:C40"/>
    <mergeCell ref="D39:D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5AA0-1287-4EF7-9EFA-FCB8EE3FB5A2}">
  <dimension ref="A1:J18"/>
  <sheetViews>
    <sheetView showGridLines="0" workbookViewId="0">
      <selection activeCell="C9" sqref="C9"/>
    </sheetView>
  </sheetViews>
  <sheetFormatPr defaultRowHeight="14.5" x14ac:dyDescent="0.35"/>
  <cols>
    <col min="1" max="1" width="10.08984375" customWidth="1"/>
    <col min="2" max="2" width="14.90625" customWidth="1"/>
    <col min="3" max="3" width="14.453125" bestFit="1" customWidth="1"/>
    <col min="4" max="4" width="15" customWidth="1"/>
    <col min="7" max="7" width="10.453125" customWidth="1"/>
    <col min="8" max="8" width="17.1796875" bestFit="1" customWidth="1"/>
    <col min="9" max="9" width="16.7265625" customWidth="1"/>
    <col min="10" max="10" width="23.26953125" bestFit="1" customWidth="1"/>
  </cols>
  <sheetData>
    <row r="1" spans="1:10" ht="15" thickBot="1" x14ac:dyDescent="0.4">
      <c r="A1" s="54"/>
      <c r="B1" s="55" t="s">
        <v>116</v>
      </c>
      <c r="C1" s="56" t="s">
        <v>117</v>
      </c>
      <c r="D1" s="57" t="s">
        <v>107</v>
      </c>
      <c r="F1" s="42"/>
      <c r="G1" s="51" t="s">
        <v>116</v>
      </c>
      <c r="H1" s="52" t="s">
        <v>118</v>
      </c>
      <c r="I1" s="52" t="s">
        <v>119</v>
      </c>
      <c r="J1" s="53" t="s">
        <v>120</v>
      </c>
    </row>
    <row r="2" spans="1:10" x14ac:dyDescent="0.35">
      <c r="A2" s="46" t="str" cm="1">
        <f t="array" ref="A2:A5">TRANSPOSE('Ratio analysis'!B4:E4)</f>
        <v>FY22-23</v>
      </c>
      <c r="B2" s="1" cm="1">
        <f t="array" ref="B2:B5">TRANSPOSE('income statement'!B5:E5)</f>
        <v>42839.56</v>
      </c>
      <c r="C2" s="1" cm="1">
        <f t="array" ref="C2:C5">TRANSPOSE('income statement'!B26:E26)</f>
        <v>2378.3399999999992</v>
      </c>
      <c r="D2" s="43">
        <f>C2/B2</f>
        <v>5.5517376929174793E-2</v>
      </c>
      <c r="E2" s="25"/>
      <c r="F2" s="46" t="s">
        <v>30</v>
      </c>
      <c r="G2" s="1">
        <v>42839.56</v>
      </c>
      <c r="H2">
        <v>324</v>
      </c>
      <c r="I2" s="2">
        <f>G2/H2</f>
        <v>132.22086419753086</v>
      </c>
      <c r="J2" s="47">
        <v>22.149490958094233</v>
      </c>
    </row>
    <row r="3" spans="1:10" x14ac:dyDescent="0.35">
      <c r="A3" s="46" t="str">
        <v>FY23-24</v>
      </c>
      <c r="B3" s="41">
        <v>50788.83</v>
      </c>
      <c r="C3" s="34">
        <v>2526.7999999999961</v>
      </c>
      <c r="D3" s="43">
        <f t="shared" ref="D3:D5" si="0">C3/B3</f>
        <v>4.975109684550709E-2</v>
      </c>
      <c r="E3" s="8"/>
      <c r="F3" s="46" t="s">
        <v>31</v>
      </c>
      <c r="G3" s="1">
        <v>50788.83</v>
      </c>
      <c r="H3">
        <v>365</v>
      </c>
      <c r="I3" s="2">
        <f t="shared" ref="I3:I5" si="1">G3/H3</f>
        <v>139.1474794520548</v>
      </c>
      <c r="J3" s="47">
        <f>(I3-I2)-1</f>
        <v>5.9266152545239379</v>
      </c>
    </row>
    <row r="4" spans="1:10" x14ac:dyDescent="0.35">
      <c r="A4" s="46" t="str">
        <v>FY24-25</v>
      </c>
      <c r="B4" s="1">
        <v>59358.05</v>
      </c>
      <c r="C4" s="1">
        <v>2698.6399999999944</v>
      </c>
      <c r="D4" s="43">
        <f t="shared" si="0"/>
        <v>4.5463757653763801E-2</v>
      </c>
      <c r="F4" s="46" t="s">
        <v>63</v>
      </c>
      <c r="G4" s="1">
        <v>59358.05</v>
      </c>
      <c r="H4">
        <v>415</v>
      </c>
      <c r="I4" s="2">
        <f t="shared" si="1"/>
        <v>143.03144578313254</v>
      </c>
      <c r="J4" s="47">
        <f>(I4-I3)-1</f>
        <v>2.8839663310777439</v>
      </c>
    </row>
    <row r="5" spans="1:10" ht="15" thickBot="1" x14ac:dyDescent="0.4">
      <c r="A5" s="48" t="str">
        <v>FY25-26</v>
      </c>
      <c r="B5" s="44">
        <v>68820.740000000005</v>
      </c>
      <c r="C5" s="44">
        <v>2964.3800000000033</v>
      </c>
      <c r="D5" s="45">
        <f t="shared" si="0"/>
        <v>4.3073933817044149E-2</v>
      </c>
      <c r="F5" s="48" t="s">
        <v>64</v>
      </c>
      <c r="G5" s="44">
        <v>68820.740000000005</v>
      </c>
      <c r="H5" s="49">
        <v>500</v>
      </c>
      <c r="I5" s="58">
        <f t="shared" si="1"/>
        <v>137.64148</v>
      </c>
      <c r="J5" s="50">
        <f>(I5-I4)-1</f>
        <v>-6.3899657831325385</v>
      </c>
    </row>
    <row r="7" spans="1:10" ht="15" thickBot="1" x14ac:dyDescent="0.4"/>
    <row r="8" spans="1:10" x14ac:dyDescent="0.35">
      <c r="A8" s="63"/>
      <c r="B8" s="59" t="s">
        <v>122</v>
      </c>
      <c r="C8" s="59" t="s">
        <v>123</v>
      </c>
      <c r="D8" s="60" t="s">
        <v>124</v>
      </c>
      <c r="F8" s="64"/>
      <c r="G8" s="59" t="s">
        <v>117</v>
      </c>
      <c r="H8" s="65" t="s">
        <v>125</v>
      </c>
      <c r="I8" s="40"/>
    </row>
    <row r="9" spans="1:10" x14ac:dyDescent="0.35">
      <c r="A9" s="63" t="s">
        <v>30</v>
      </c>
      <c r="B9" s="1" cm="1">
        <f t="array" ref="B9:B12">TRANSPOSE('income statement'!B17:E17)</f>
        <v>2998.1599999999989</v>
      </c>
      <c r="C9" s="2">
        <f>B9*(1-22.28%)</f>
        <v>2330.1699519999993</v>
      </c>
      <c r="D9" s="61" cm="1">
        <f t="array" ref="D9:D12">TRANSPOSE('income statement'!B26:E26)</f>
        <v>2378.3399999999992</v>
      </c>
      <c r="F9" s="66" t="s">
        <v>30</v>
      </c>
      <c r="G9" cm="1">
        <f t="array" ref="G9:G12">TRANSPOSE('income statement'!B26:E26)</f>
        <v>2378.3399999999992</v>
      </c>
      <c r="H9" s="47" cm="1">
        <f t="array" ref="H9:H12">TRANSPOSE('Cash flow'!B5:E5)</f>
        <v>2630.27</v>
      </c>
      <c r="I9" s="40"/>
    </row>
    <row r="10" spans="1:10" x14ac:dyDescent="0.35">
      <c r="A10" s="63" t="s">
        <v>31</v>
      </c>
      <c r="B10" s="1">
        <v>3373.0099999999966</v>
      </c>
      <c r="C10" s="2">
        <f>B10*(1-26.74%)</f>
        <v>2471.0671259999976</v>
      </c>
      <c r="D10" s="61">
        <v>2526.7999999999961</v>
      </c>
      <c r="F10" s="66" t="s">
        <v>31</v>
      </c>
      <c r="G10">
        <v>2526.7999999999961</v>
      </c>
      <c r="H10" s="47">
        <v>2745.84</v>
      </c>
      <c r="I10" s="40"/>
    </row>
    <row r="11" spans="1:10" x14ac:dyDescent="0.35">
      <c r="A11" s="63" t="s">
        <v>63</v>
      </c>
      <c r="B11" s="1">
        <v>3617.8099999999945</v>
      </c>
      <c r="C11" s="2">
        <f>B11*(1-26.28%)</f>
        <v>2667.0495319999959</v>
      </c>
      <c r="D11" s="61">
        <v>2698.6399999999944</v>
      </c>
      <c r="F11" s="66" t="s">
        <v>63</v>
      </c>
      <c r="G11">
        <v>2698.6399999999944</v>
      </c>
      <c r="H11" s="47">
        <v>2462.9699999999998</v>
      </c>
      <c r="I11" s="40"/>
    </row>
    <row r="12" spans="1:10" ht="15" thickBot="1" x14ac:dyDescent="0.4">
      <c r="A12" s="63" t="s">
        <v>64</v>
      </c>
      <c r="B12" s="44">
        <v>4149.5700000000033</v>
      </c>
      <c r="C12" s="58">
        <f>B12*(1-27.24%)</f>
        <v>3019.2271320000027</v>
      </c>
      <c r="D12" s="62">
        <v>2964.3800000000033</v>
      </c>
      <c r="F12" s="67" t="s">
        <v>64</v>
      </c>
      <c r="G12" s="49">
        <v>2964.3800000000033</v>
      </c>
      <c r="H12" s="50">
        <v>3466.74</v>
      </c>
      <c r="I12" s="40"/>
    </row>
    <row r="13" spans="1:10" ht="15" thickBot="1" x14ac:dyDescent="0.4"/>
    <row r="14" spans="1:10" x14ac:dyDescent="0.35">
      <c r="A14" s="64"/>
      <c r="B14" s="69" t="s">
        <v>92</v>
      </c>
      <c r="C14" s="70" t="s">
        <v>127</v>
      </c>
    </row>
    <row r="15" spans="1:10" x14ac:dyDescent="0.35">
      <c r="A15" s="66" t="s">
        <v>30</v>
      </c>
      <c r="B15" s="68" cm="1">
        <f t="array" ref="B15:B18">TRANSPOSE('Ratio analysis'!B7:E7)</f>
        <v>0.33972974333779382</v>
      </c>
      <c r="C15" s="71">
        <f>('Balance Sheet'!B20- 2742.66 )/ 2742.66</f>
        <v>0.18260374964450576</v>
      </c>
    </row>
    <row r="16" spans="1:10" x14ac:dyDescent="0.35">
      <c r="A16" s="66" t="s">
        <v>31</v>
      </c>
      <c r="B16" s="68">
        <v>0.18555909537819726</v>
      </c>
      <c r="C16" s="71">
        <f>('Balance Sheet'!C20-'Balance Sheet'!B20)/'Balance Sheet'!B20</f>
        <v>0.21083219258327474</v>
      </c>
    </row>
    <row r="17" spans="1:3" x14ac:dyDescent="0.35">
      <c r="A17" s="66" t="s">
        <v>63</v>
      </c>
      <c r="B17" s="68">
        <v>0.16872253210007004</v>
      </c>
      <c r="C17" s="71">
        <f>('Balance Sheet'!D20-'Balance Sheet'!C20)/'Balance Sheet'!C20</f>
        <v>0.28443387458591246</v>
      </c>
    </row>
    <row r="18" spans="1:3" ht="15" thickBot="1" x14ac:dyDescent="0.4">
      <c r="A18" s="67" t="s">
        <v>64</v>
      </c>
      <c r="B18" s="72">
        <v>0.15941713044818692</v>
      </c>
      <c r="C18" s="73">
        <f>('Balance Sheet'!E20-'Balance Sheet'!D20)/'Balance Sheet'!D20</f>
        <v>0.16974765927162369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513A-24F2-4E9D-8A9F-A2D450E32C5B}">
  <dimension ref="A1"/>
  <sheetViews>
    <sheetView showGridLines="0" zoomScale="99" zoomScaleNormal="99" workbookViewId="0">
      <selection activeCell="L45" sqref="L45"/>
    </sheetView>
  </sheetViews>
  <sheetFormatPr defaultRowHeight="14.5" x14ac:dyDescent="0.35"/>
  <sheetData/>
  <sheetProtection selectLockedCells="1" selectUnlockedCells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64BD-2846-4DC0-B31C-BD56CDD5C518}">
  <dimension ref="A1:N47"/>
  <sheetViews>
    <sheetView topLeftCell="A34" workbookViewId="0">
      <selection activeCell="J12" sqref="J12"/>
    </sheetView>
  </sheetViews>
  <sheetFormatPr defaultRowHeight="14.5" x14ac:dyDescent="0.35"/>
  <cols>
    <col min="1" max="1" width="37.26953125" customWidth="1"/>
    <col min="2" max="2" width="10.26953125" customWidth="1"/>
    <col min="3" max="3" width="10.08984375" customWidth="1"/>
    <col min="4" max="4" width="10.7265625" customWidth="1"/>
    <col min="5" max="5" width="10.1796875" customWidth="1"/>
    <col min="6" max="6" width="2.36328125" customWidth="1"/>
    <col min="7" max="7" width="9.7265625" customWidth="1"/>
    <col min="8" max="8" width="10.26953125" customWidth="1"/>
    <col min="9" max="9" width="10.90625" customWidth="1"/>
    <col min="10" max="10" width="11.08984375" customWidth="1"/>
    <col min="11" max="11" width="12" customWidth="1"/>
    <col min="12" max="12" width="11.453125" customWidth="1"/>
    <col min="13" max="13" width="11.1796875" customWidth="1"/>
    <col min="14" max="14" width="11.453125" customWidth="1"/>
  </cols>
  <sheetData>
    <row r="1" spans="1:14" x14ac:dyDescent="0.35">
      <c r="A1" s="197" t="s">
        <v>128</v>
      </c>
      <c r="B1" s="197"/>
      <c r="G1" s="197" t="s">
        <v>129</v>
      </c>
      <c r="H1" s="197"/>
    </row>
    <row r="2" spans="1:14" ht="16" x14ac:dyDescent="0.4">
      <c r="A2" s="197" t="s">
        <v>130</v>
      </c>
      <c r="B2" s="197"/>
      <c r="C2" s="74">
        <v>2</v>
      </c>
      <c r="G2" s="197" t="s">
        <v>131</v>
      </c>
      <c r="H2" s="197"/>
      <c r="I2" s="75" t="s">
        <v>132</v>
      </c>
      <c r="J2" s="205" t="s">
        <v>133</v>
      </c>
      <c r="K2" s="205"/>
      <c r="L2" s="205"/>
    </row>
    <row r="3" spans="1:14" ht="15.5" x14ac:dyDescent="0.35">
      <c r="G3" s="197" t="s">
        <v>134</v>
      </c>
      <c r="H3" s="197"/>
      <c r="I3" s="76" t="s">
        <v>135</v>
      </c>
      <c r="J3" s="206" t="s">
        <v>222</v>
      </c>
      <c r="K3" s="207"/>
      <c r="L3" s="208"/>
    </row>
    <row r="4" spans="1:14" x14ac:dyDescent="0.35">
      <c r="G4" s="197" t="s">
        <v>136</v>
      </c>
      <c r="H4" s="197"/>
      <c r="I4" s="77" t="s">
        <v>137</v>
      </c>
      <c r="J4" s="205" t="s">
        <v>138</v>
      </c>
      <c r="K4" s="205"/>
      <c r="L4" s="205"/>
    </row>
    <row r="5" spans="1:14" x14ac:dyDescent="0.35">
      <c r="G5" s="1"/>
      <c r="H5" s="1"/>
      <c r="I5" s="78"/>
      <c r="J5" s="1"/>
      <c r="K5" s="1"/>
      <c r="L5" s="1"/>
    </row>
    <row r="6" spans="1:14" x14ac:dyDescent="0.35">
      <c r="G6" s="204" t="s">
        <v>139</v>
      </c>
      <c r="H6" s="204"/>
      <c r="I6" s="204"/>
      <c r="J6" s="204"/>
      <c r="K6" s="204"/>
      <c r="L6" s="204"/>
      <c r="M6" s="204"/>
      <c r="N6" s="204"/>
    </row>
    <row r="7" spans="1:14" ht="16" x14ac:dyDescent="0.4">
      <c r="A7" s="96" t="s">
        <v>140</v>
      </c>
      <c r="B7" s="96" t="s">
        <v>30</v>
      </c>
      <c r="C7" s="96" t="s">
        <v>31</v>
      </c>
      <c r="D7" s="96" t="s">
        <v>63</v>
      </c>
      <c r="E7" s="96" t="s">
        <v>64</v>
      </c>
      <c r="F7" s="96"/>
      <c r="G7" s="97" t="s">
        <v>141</v>
      </c>
      <c r="H7" s="97" t="s">
        <v>142</v>
      </c>
      <c r="I7" s="97" t="s">
        <v>143</v>
      </c>
      <c r="J7" s="97" t="s">
        <v>204</v>
      </c>
      <c r="K7" s="97" t="s">
        <v>144</v>
      </c>
      <c r="L7" s="97" t="s">
        <v>145</v>
      </c>
      <c r="M7" s="97" t="s">
        <v>203</v>
      </c>
      <c r="N7" s="97" t="s">
        <v>205</v>
      </c>
    </row>
    <row r="8" spans="1:14" ht="16" x14ac:dyDescent="0.4">
      <c r="A8" s="5" t="s">
        <v>116</v>
      </c>
      <c r="B8" s="39">
        <v>42839.56</v>
      </c>
      <c r="C8" s="39">
        <v>50788.83</v>
      </c>
      <c r="D8" s="39">
        <v>59358.05</v>
      </c>
      <c r="E8" s="98">
        <v>68820.740000000005</v>
      </c>
      <c r="F8" s="98"/>
      <c r="G8" s="90">
        <f>E8*(1+G9)</f>
        <v>79969.69988</v>
      </c>
      <c r="H8" s="90">
        <f t="shared" ref="H8:K8" si="0">G8*(1+H9)</f>
        <v>92764.851860799987</v>
      </c>
      <c r="I8" s="90">
        <f t="shared" si="0"/>
        <v>107421.69845480638</v>
      </c>
      <c r="J8" s="90">
        <f t="shared" si="0"/>
        <v>124072.06171530137</v>
      </c>
      <c r="K8" s="90">
        <f t="shared" si="0"/>
        <v>143303.2312811731</v>
      </c>
      <c r="L8" s="90">
        <f t="shared" ref="L8" si="1">K8*(1+L9)</f>
        <v>165515.23212975494</v>
      </c>
      <c r="M8" s="90">
        <f t="shared" ref="M8" si="2">L8*(1+M9)</f>
        <v>191170.09310986695</v>
      </c>
      <c r="N8" s="90">
        <f t="shared" ref="N8" si="3">M8*(1+N9)</f>
        <v>220801.45754189635</v>
      </c>
    </row>
    <row r="9" spans="1:14" ht="16" x14ac:dyDescent="0.4">
      <c r="A9" s="5" t="s">
        <v>146</v>
      </c>
      <c r="B9" s="99"/>
      <c r="C9" s="91">
        <f>(C8-B8)/B8</f>
        <v>0.18555909537819726</v>
      </c>
      <c r="D9" s="91">
        <f t="shared" ref="D9" si="4">(D8-C8)/C8</f>
        <v>0.16872253210007004</v>
      </c>
      <c r="E9" s="100">
        <f>(E8-D8)/D8</f>
        <v>0.15941713044818692</v>
      </c>
      <c r="F9" s="100"/>
      <c r="G9" s="92">
        <f>CHOOSE($C$2,G11,G12,G13,)</f>
        <v>0.16200000000000001</v>
      </c>
      <c r="H9" s="92">
        <f>CHOOSE($C$2,H11,H12,H13,)</f>
        <v>0.16</v>
      </c>
      <c r="I9" s="92">
        <f t="shared" ref="I9:N9" si="5">CHOOSE($C$2,I11,I12,I13,)</f>
        <v>0.158</v>
      </c>
      <c r="J9" s="92">
        <f t="shared" si="5"/>
        <v>0.155</v>
      </c>
      <c r="K9" s="92">
        <f t="shared" si="5"/>
        <v>0.155</v>
      </c>
      <c r="L9" s="92">
        <f t="shared" si="5"/>
        <v>0.155</v>
      </c>
      <c r="M9" s="92">
        <f t="shared" si="5"/>
        <v>0.155</v>
      </c>
      <c r="N9" s="92">
        <f t="shared" si="5"/>
        <v>0.155</v>
      </c>
    </row>
    <row r="10" spans="1:14" ht="16" x14ac:dyDescent="0.4">
      <c r="A10" s="39"/>
      <c r="B10" s="39"/>
      <c r="C10" s="39"/>
      <c r="D10" s="39"/>
      <c r="E10" s="39"/>
      <c r="F10" s="39"/>
      <c r="G10" s="89"/>
      <c r="H10" s="89"/>
      <c r="I10" s="89"/>
      <c r="J10" s="89"/>
      <c r="K10" s="89"/>
      <c r="L10" s="79"/>
      <c r="M10" s="79"/>
      <c r="N10" s="79"/>
    </row>
    <row r="11" spans="1:14" ht="16" x14ac:dyDescent="0.4">
      <c r="A11" s="39" t="s">
        <v>148</v>
      </c>
      <c r="B11" s="39"/>
      <c r="C11" s="39"/>
      <c r="D11" s="39"/>
      <c r="E11" s="39"/>
      <c r="F11" s="39"/>
      <c r="G11" s="92">
        <v>0.2</v>
      </c>
      <c r="H11" s="92">
        <v>0.2</v>
      </c>
      <c r="I11" s="92">
        <v>0.2</v>
      </c>
      <c r="J11" s="92">
        <v>0.2</v>
      </c>
      <c r="K11" s="92">
        <v>0.2</v>
      </c>
      <c r="L11" s="92">
        <v>0.2</v>
      </c>
      <c r="M11" s="92">
        <v>0.2</v>
      </c>
      <c r="N11" s="92">
        <v>0.2</v>
      </c>
    </row>
    <row r="12" spans="1:14" ht="16" x14ac:dyDescent="0.4">
      <c r="A12" s="39" t="s">
        <v>149</v>
      </c>
      <c r="B12" s="39"/>
      <c r="C12" s="39"/>
      <c r="D12" s="39"/>
      <c r="E12" s="39"/>
      <c r="F12" s="39"/>
      <c r="G12" s="92">
        <v>0.16200000000000001</v>
      </c>
      <c r="H12" s="92">
        <v>0.16</v>
      </c>
      <c r="I12" s="92">
        <v>0.158</v>
      </c>
      <c r="J12" s="92">
        <v>0.155</v>
      </c>
      <c r="K12" s="92">
        <f t="shared" ref="K12:N12" si="6">J12</f>
        <v>0.155</v>
      </c>
      <c r="L12" s="92">
        <f t="shared" si="6"/>
        <v>0.155</v>
      </c>
      <c r="M12" s="92">
        <f t="shared" si="6"/>
        <v>0.155</v>
      </c>
      <c r="N12" s="92">
        <f t="shared" si="6"/>
        <v>0.155</v>
      </c>
    </row>
    <row r="13" spans="1:14" ht="16" x14ac:dyDescent="0.4">
      <c r="A13" s="39" t="s">
        <v>150</v>
      </c>
      <c r="B13" s="39"/>
      <c r="C13" s="39"/>
      <c r="D13" s="39"/>
      <c r="E13" s="39"/>
      <c r="F13" s="39"/>
      <c r="G13" s="101">
        <v>0.14000000000000001</v>
      </c>
      <c r="H13" s="101">
        <v>0.14000000000000001</v>
      </c>
      <c r="I13" s="101">
        <v>0.14000000000000001</v>
      </c>
      <c r="J13" s="101">
        <v>0.14000000000000001</v>
      </c>
      <c r="K13" s="101">
        <v>0.14000000000000001</v>
      </c>
      <c r="L13" s="101">
        <v>0.14000000000000001</v>
      </c>
      <c r="M13" s="101">
        <v>0.14000000000000001</v>
      </c>
      <c r="N13" s="101">
        <v>0.14000000000000001</v>
      </c>
    </row>
    <row r="14" spans="1:14" ht="16" x14ac:dyDescent="0.4">
      <c r="A14" s="39"/>
      <c r="B14" s="39"/>
      <c r="C14" s="39"/>
      <c r="D14" s="39"/>
      <c r="E14" s="39"/>
      <c r="F14" s="39"/>
      <c r="G14" s="89"/>
      <c r="H14" s="89"/>
      <c r="I14" s="89"/>
      <c r="J14" s="89"/>
      <c r="K14" s="89"/>
      <c r="L14" s="89"/>
      <c r="M14" s="89"/>
      <c r="N14" s="89"/>
    </row>
    <row r="15" spans="1:14" ht="16" x14ac:dyDescent="0.4">
      <c r="A15" s="5" t="s">
        <v>147</v>
      </c>
      <c r="B15" s="39">
        <f>'income statement'!B8+'income statement'!B9</f>
        <v>36383.949999999997</v>
      </c>
      <c r="C15" s="39">
        <f>'income statement'!C8+'income statement'!C9</f>
        <v>43274.54</v>
      </c>
      <c r="D15" s="39">
        <f>'income statement'!D8+'income statement'!D9</f>
        <v>50551.700000000004</v>
      </c>
      <c r="E15" s="39">
        <f>'income statement'!E8+'income statement'!E9</f>
        <v>58459.729999999996</v>
      </c>
      <c r="F15" s="39"/>
      <c r="G15" s="89">
        <f>E15*(1+G16)</f>
        <v>67520.98814999999</v>
      </c>
      <c r="H15" s="90">
        <f>G15*(1+H16)</f>
        <v>77649.136372499983</v>
      </c>
      <c r="I15" s="90">
        <f>H15*(1+I16)</f>
        <v>88520.015464649987</v>
      </c>
      <c r="J15" s="90">
        <f>I15*(1+J16)</f>
        <v>100912.81762970099</v>
      </c>
      <c r="K15" s="89">
        <f>J15*(1+K16)</f>
        <v>114838.78646259972</v>
      </c>
      <c r="L15" s="89">
        <f t="shared" ref="L15:N15" si="7">K15*(1+L16)</f>
        <v>130686.53899443847</v>
      </c>
      <c r="M15" s="89">
        <f t="shared" si="7"/>
        <v>148721.28137567095</v>
      </c>
      <c r="N15" s="89">
        <f t="shared" si="7"/>
        <v>169244.81820551353</v>
      </c>
    </row>
    <row r="16" spans="1:14" ht="16" x14ac:dyDescent="0.4">
      <c r="A16" s="5" t="s">
        <v>146</v>
      </c>
      <c r="B16" s="39"/>
      <c r="C16" s="91">
        <f>(C15-B15)/B15</f>
        <v>0.18938542956440971</v>
      </c>
      <c r="D16" s="91">
        <f>(D15-C15)/C15</f>
        <v>0.16816261940623756</v>
      </c>
      <c r="E16" s="91">
        <f>(E15-D15)/D15</f>
        <v>0.15643450170815207</v>
      </c>
      <c r="F16" s="91"/>
      <c r="G16" s="92">
        <f>CHOOSE($C$2,G18,G19,G20)</f>
        <v>0.155</v>
      </c>
      <c r="H16" s="92">
        <f t="shared" ref="H16:N16" si="8">CHOOSE($C$2,H18,H19,H20)</f>
        <v>0.15</v>
      </c>
      <c r="I16" s="92">
        <f t="shared" si="8"/>
        <v>0.14000000000000001</v>
      </c>
      <c r="J16" s="92">
        <f t="shared" si="8"/>
        <v>0.14000000000000001</v>
      </c>
      <c r="K16" s="92">
        <f t="shared" si="8"/>
        <v>0.13800000000000001</v>
      </c>
      <c r="L16" s="92">
        <f t="shared" si="8"/>
        <v>0.13800000000000001</v>
      </c>
      <c r="M16" s="92">
        <f t="shared" si="8"/>
        <v>0.13800000000000001</v>
      </c>
      <c r="N16" s="92">
        <f t="shared" si="8"/>
        <v>0.13800000000000001</v>
      </c>
    </row>
    <row r="17" spans="1:14" ht="16" x14ac:dyDescent="0.4">
      <c r="A17" s="5"/>
      <c r="B17" s="39"/>
      <c r="C17" s="91"/>
      <c r="D17" s="91"/>
      <c r="E17" s="91"/>
      <c r="F17" s="91"/>
      <c r="G17" s="92"/>
      <c r="H17" s="92"/>
      <c r="I17" s="92"/>
      <c r="J17" s="92"/>
      <c r="K17" s="92"/>
      <c r="L17" s="92"/>
      <c r="M17" s="92"/>
      <c r="N17" s="92"/>
    </row>
    <row r="18" spans="1:14" ht="16" x14ac:dyDescent="0.4">
      <c r="A18" s="39" t="s">
        <v>148</v>
      </c>
      <c r="B18" s="39"/>
      <c r="C18" s="39"/>
      <c r="D18" s="39"/>
      <c r="E18" s="39"/>
      <c r="F18" s="39"/>
      <c r="G18" s="92">
        <v>0.13</v>
      </c>
      <c r="H18" s="92">
        <v>0.13</v>
      </c>
      <c r="I18" s="92">
        <v>0.13</v>
      </c>
      <c r="J18" s="92">
        <v>0.13</v>
      </c>
      <c r="K18" s="92">
        <v>0.13</v>
      </c>
      <c r="L18" s="92">
        <v>0.13</v>
      </c>
      <c r="M18" s="92">
        <v>0.13</v>
      </c>
      <c r="N18" s="92">
        <v>0.13</v>
      </c>
    </row>
    <row r="19" spans="1:14" ht="16" x14ac:dyDescent="0.4">
      <c r="A19" s="39" t="s">
        <v>149</v>
      </c>
      <c r="B19" s="39"/>
      <c r="C19" s="39"/>
      <c r="D19" s="39"/>
      <c r="E19" s="39"/>
      <c r="F19" s="39"/>
      <c r="G19" s="92">
        <v>0.155</v>
      </c>
      <c r="H19" s="92">
        <f>15%</f>
        <v>0.15</v>
      </c>
      <c r="I19" s="92">
        <f>14%</f>
        <v>0.14000000000000001</v>
      </c>
      <c r="J19" s="92">
        <f>14%</f>
        <v>0.14000000000000001</v>
      </c>
      <c r="K19" s="92">
        <f>13.8%</f>
        <v>0.13800000000000001</v>
      </c>
      <c r="L19" s="92">
        <f t="shared" ref="L19:N19" si="9">13.8%</f>
        <v>0.13800000000000001</v>
      </c>
      <c r="M19" s="92">
        <f t="shared" si="9"/>
        <v>0.13800000000000001</v>
      </c>
      <c r="N19" s="92">
        <f t="shared" si="9"/>
        <v>0.13800000000000001</v>
      </c>
    </row>
    <row r="20" spans="1:14" ht="16" x14ac:dyDescent="0.4">
      <c r="A20" s="39" t="s">
        <v>150</v>
      </c>
      <c r="B20" s="39"/>
      <c r="C20" s="39"/>
      <c r="D20" s="39"/>
      <c r="E20" s="39"/>
      <c r="F20" s="39"/>
      <c r="G20" s="92">
        <v>0.17499999999999999</v>
      </c>
      <c r="H20" s="92">
        <v>0.17499999999999999</v>
      </c>
      <c r="I20" s="92">
        <v>0.17499999999999999</v>
      </c>
      <c r="J20" s="92">
        <v>0.17499999999999999</v>
      </c>
      <c r="K20" s="92">
        <v>0.17499999999999999</v>
      </c>
      <c r="L20" s="92">
        <v>0.17499999999999999</v>
      </c>
      <c r="M20" s="92">
        <v>0.17499999999999999</v>
      </c>
      <c r="N20" s="92">
        <v>0.17499999999999999</v>
      </c>
    </row>
    <row r="21" spans="1:14" ht="16" x14ac:dyDescent="0.4">
      <c r="A21" s="39"/>
      <c r="B21" s="39"/>
      <c r="C21" s="39"/>
      <c r="D21" s="39"/>
      <c r="E21" s="39"/>
      <c r="F21" s="39"/>
      <c r="G21" s="89"/>
      <c r="H21" s="89"/>
      <c r="I21" s="89"/>
      <c r="J21" s="89"/>
      <c r="K21" s="89"/>
      <c r="L21" s="89"/>
      <c r="M21" s="89"/>
      <c r="N21" s="89"/>
    </row>
    <row r="22" spans="1:14" ht="16" x14ac:dyDescent="0.4">
      <c r="A22" s="5" t="s">
        <v>72</v>
      </c>
      <c r="B22" s="102">
        <v>746.97</v>
      </c>
      <c r="C22" s="39">
        <v>906.12</v>
      </c>
      <c r="D22" s="85">
        <v>1165.9000000000001</v>
      </c>
      <c r="E22" s="85">
        <v>1541.48</v>
      </c>
      <c r="F22" s="39"/>
      <c r="G22" s="90">
        <f>G23*G8</f>
        <v>1759.3333973599999</v>
      </c>
      <c r="H22" s="90">
        <f t="shared" ref="H22:N22" si="10">H23*H8</f>
        <v>2040.8267409375997</v>
      </c>
      <c r="I22" s="90">
        <f t="shared" si="10"/>
        <v>2363.2773660057401</v>
      </c>
      <c r="J22" s="90">
        <f t="shared" si="10"/>
        <v>2853.6574194519317</v>
      </c>
      <c r="K22" s="90">
        <f t="shared" si="10"/>
        <v>3295.9743194669813</v>
      </c>
      <c r="L22" s="90">
        <f t="shared" si="10"/>
        <v>3806.8503389843636</v>
      </c>
      <c r="M22" s="90">
        <f t="shared" si="10"/>
        <v>4779.2523277466744</v>
      </c>
      <c r="N22" s="90">
        <f t="shared" si="10"/>
        <v>5520.0364385474095</v>
      </c>
    </row>
    <row r="23" spans="1:14" ht="16" x14ac:dyDescent="0.4">
      <c r="A23" s="5" t="s">
        <v>223</v>
      </c>
      <c r="B23" s="91">
        <f>B22/B8</f>
        <v>1.7436453595695196E-2</v>
      </c>
      <c r="C23" s="91">
        <f t="shared" ref="C23:E23" si="11">C22/C8</f>
        <v>1.784093077158895E-2</v>
      </c>
      <c r="D23" s="91">
        <f t="shared" si="11"/>
        <v>1.9641817748393017E-2</v>
      </c>
      <c r="E23" s="91">
        <f t="shared" si="11"/>
        <v>2.2398480458071215E-2</v>
      </c>
      <c r="F23" s="39"/>
      <c r="G23" s="92">
        <f>CHOOSE($C$2,G25,G26,G27)</f>
        <v>2.1999999999999999E-2</v>
      </c>
      <c r="H23" s="92">
        <f t="shared" ref="H23:N23" si="12">CHOOSE($C$2,H25,H26,H27)</f>
        <v>2.1999999999999999E-2</v>
      </c>
      <c r="I23" s="92">
        <f>CHOOSE($C$2,I25,I26,I27)</f>
        <v>2.1999999999999999E-2</v>
      </c>
      <c r="J23" s="92">
        <f t="shared" si="12"/>
        <v>2.3E-2</v>
      </c>
      <c r="K23" s="92">
        <f t="shared" si="12"/>
        <v>2.3E-2</v>
      </c>
      <c r="L23" s="92">
        <f t="shared" si="12"/>
        <v>2.3E-2</v>
      </c>
      <c r="M23" s="92">
        <f t="shared" si="12"/>
        <v>2.5000000000000001E-2</v>
      </c>
      <c r="N23" s="92">
        <f t="shared" si="12"/>
        <v>2.5000000000000001E-2</v>
      </c>
    </row>
    <row r="24" spans="1:14" ht="16" x14ac:dyDescent="0.4">
      <c r="A24" s="5"/>
      <c r="B24" s="39"/>
      <c r="C24" s="91"/>
      <c r="D24" s="91"/>
      <c r="E24" s="91"/>
      <c r="F24" s="39"/>
      <c r="G24" s="89"/>
      <c r="H24" s="89"/>
      <c r="I24" s="89"/>
      <c r="J24" s="89"/>
      <c r="K24" s="89"/>
      <c r="L24" s="89"/>
      <c r="M24" s="89"/>
      <c r="N24" s="89"/>
    </row>
    <row r="25" spans="1:14" ht="16" x14ac:dyDescent="0.4">
      <c r="A25" s="39" t="s">
        <v>148</v>
      </c>
      <c r="B25" s="39"/>
      <c r="C25" s="39"/>
      <c r="D25" s="39"/>
      <c r="E25" s="39"/>
      <c r="F25" s="39"/>
      <c r="G25" s="92">
        <v>2.18E-2</v>
      </c>
      <c r="H25" s="92">
        <v>2.18E-2</v>
      </c>
      <c r="I25" s="92">
        <v>2.18E-2</v>
      </c>
      <c r="J25" s="92">
        <v>2.1999999999999999E-2</v>
      </c>
      <c r="K25" s="92">
        <v>2.1999999999999999E-2</v>
      </c>
      <c r="L25" s="92">
        <v>2.1999999999999999E-2</v>
      </c>
      <c r="M25" s="92">
        <v>2.1999999999999999E-2</v>
      </c>
      <c r="N25" s="92">
        <v>2.1999999999999999E-2</v>
      </c>
    </row>
    <row r="26" spans="1:14" ht="16" x14ac:dyDescent="0.4">
      <c r="A26" s="39" t="s">
        <v>149</v>
      </c>
      <c r="B26" s="39"/>
      <c r="C26" s="39"/>
      <c r="D26" s="91"/>
      <c r="E26" s="39"/>
      <c r="F26" s="39"/>
      <c r="G26" s="92">
        <v>2.1999999999999999E-2</v>
      </c>
      <c r="H26" s="92">
        <v>2.1999999999999999E-2</v>
      </c>
      <c r="I26" s="92">
        <v>2.1999999999999999E-2</v>
      </c>
      <c r="J26" s="92">
        <v>2.3E-2</v>
      </c>
      <c r="K26" s="92">
        <v>2.3E-2</v>
      </c>
      <c r="L26" s="92">
        <v>2.3E-2</v>
      </c>
      <c r="M26" s="92">
        <v>2.5000000000000001E-2</v>
      </c>
      <c r="N26" s="92">
        <v>2.5000000000000001E-2</v>
      </c>
    </row>
    <row r="27" spans="1:14" ht="16" x14ac:dyDescent="0.4">
      <c r="A27" s="39" t="s">
        <v>150</v>
      </c>
      <c r="B27" s="39"/>
      <c r="C27" s="39"/>
      <c r="D27" s="39"/>
      <c r="E27" s="39"/>
      <c r="F27" s="39"/>
      <c r="G27" s="92">
        <v>2.7E-2</v>
      </c>
      <c r="H27" s="92">
        <v>2.7E-2</v>
      </c>
      <c r="I27" s="92">
        <v>2.7E-2</v>
      </c>
      <c r="J27" s="92">
        <v>2.7E-2</v>
      </c>
      <c r="K27" s="92">
        <v>2.7E-2</v>
      </c>
      <c r="L27" s="92">
        <v>2.7E-2</v>
      </c>
      <c r="M27" s="92">
        <v>2.7E-2</v>
      </c>
      <c r="N27" s="92">
        <v>2.7E-2</v>
      </c>
    </row>
    <row r="28" spans="1:14" ht="16" x14ac:dyDescent="0.4">
      <c r="A28" s="39"/>
      <c r="B28" s="39"/>
      <c r="C28" s="39"/>
      <c r="D28" s="39"/>
      <c r="E28" s="39"/>
      <c r="F28" s="39"/>
      <c r="G28" s="89"/>
      <c r="H28" s="89"/>
      <c r="I28" s="89"/>
      <c r="J28" s="89"/>
      <c r="K28" s="89"/>
      <c r="L28" s="89"/>
      <c r="M28" s="89"/>
      <c r="N28" s="89"/>
    </row>
    <row r="29" spans="1:14" ht="16" x14ac:dyDescent="0.4">
      <c r="A29" s="5" t="s">
        <v>74</v>
      </c>
      <c r="B29" s="39">
        <v>2071.61</v>
      </c>
      <c r="C29" s="39">
        <v>2504.4</v>
      </c>
      <c r="D29" s="39">
        <v>3153.12</v>
      </c>
      <c r="E29" s="39">
        <v>3632.94</v>
      </c>
      <c r="F29" s="39"/>
      <c r="G29" s="90">
        <f>G8*G30</f>
        <v>4137.6014993858698</v>
      </c>
      <c r="H29" s="90">
        <f t="shared" ref="H29:N29" si="13">H8*H30</f>
        <v>4777.389870831199</v>
      </c>
      <c r="I29" s="90">
        <f t="shared" si="13"/>
        <v>5693.3500181047375</v>
      </c>
      <c r="J29" s="90">
        <f t="shared" si="13"/>
        <v>6575.8192709109726</v>
      </c>
      <c r="K29" s="90">
        <f t="shared" si="13"/>
        <v>7595.0712579021738</v>
      </c>
      <c r="L29" s="90">
        <f t="shared" si="13"/>
        <v>8772.3073028770104</v>
      </c>
      <c r="M29" s="90">
        <f t="shared" si="13"/>
        <v>10132.014934822948</v>
      </c>
      <c r="N29" s="90">
        <f t="shared" si="13"/>
        <v>11702.477249720507</v>
      </c>
    </row>
    <row r="30" spans="1:14" ht="16" x14ac:dyDescent="0.4">
      <c r="A30" s="5" t="s">
        <v>207</v>
      </c>
      <c r="B30" s="91">
        <f>B29/B8</f>
        <v>4.8357406098475338E-2</v>
      </c>
      <c r="C30" s="91">
        <f t="shared" ref="C30:E30" si="14">C29/C8</f>
        <v>4.9310054986499985E-2</v>
      </c>
      <c r="D30" s="91">
        <f t="shared" si="14"/>
        <v>5.3120343407507487E-2</v>
      </c>
      <c r="E30" s="91">
        <f t="shared" si="14"/>
        <v>5.2788447203561017E-2</v>
      </c>
      <c r="F30" s="39"/>
      <c r="G30" s="92">
        <f>CHOOSE($C$2,G32,G33,G34)</f>
        <v>5.1739615199189494E-2</v>
      </c>
      <c r="H30" s="92">
        <f t="shared" ref="H30:N30" si="15">CHOOSE($C$2,H32,H33,H34)</f>
        <v>5.1499999999999997E-2</v>
      </c>
      <c r="I30" s="92">
        <f t="shared" si="15"/>
        <v>5.2999999999999999E-2</v>
      </c>
      <c r="J30" s="92">
        <f t="shared" si="15"/>
        <v>5.2999999999999999E-2</v>
      </c>
      <c r="K30" s="92">
        <f t="shared" si="15"/>
        <v>5.2999999999999999E-2</v>
      </c>
      <c r="L30" s="92">
        <f t="shared" si="15"/>
        <v>5.2999999999999999E-2</v>
      </c>
      <c r="M30" s="92">
        <f t="shared" si="15"/>
        <v>5.2999999999999999E-2</v>
      </c>
      <c r="N30" s="92">
        <f t="shared" si="15"/>
        <v>5.2999999999999999E-2</v>
      </c>
    </row>
    <row r="31" spans="1:14" ht="16" x14ac:dyDescent="0.4">
      <c r="A31" s="39"/>
      <c r="B31" s="39"/>
      <c r="C31" s="39"/>
      <c r="D31" s="39"/>
      <c r="E31" s="39"/>
      <c r="F31" s="39"/>
      <c r="G31" s="89"/>
      <c r="H31" s="89"/>
      <c r="I31" s="89"/>
      <c r="J31" s="89"/>
      <c r="K31" s="89"/>
      <c r="L31" s="89"/>
      <c r="M31" s="89"/>
      <c r="N31" s="89"/>
    </row>
    <row r="32" spans="1:14" ht="16" x14ac:dyDescent="0.4">
      <c r="A32" s="39" t="s">
        <v>148</v>
      </c>
      <c r="B32" s="39"/>
      <c r="C32" s="91"/>
      <c r="D32" s="91"/>
      <c r="E32" s="91"/>
      <c r="F32" s="39"/>
      <c r="G32" s="92">
        <v>4.4999999999999998E-2</v>
      </c>
      <c r="H32" s="92">
        <v>4.4999999999999998E-2</v>
      </c>
      <c r="I32" s="92">
        <v>4.4999999999999998E-2</v>
      </c>
      <c r="J32" s="92">
        <v>4.4999999999999998E-2</v>
      </c>
      <c r="K32" s="92">
        <v>4.4999999999999998E-2</v>
      </c>
      <c r="L32" s="92">
        <v>4.4999999999999998E-2</v>
      </c>
      <c r="M32" s="92">
        <v>4.4999999999999998E-2</v>
      </c>
      <c r="N32" s="92">
        <v>4.4999999999999998E-2</v>
      </c>
    </row>
    <row r="33" spans="1:14" ht="16" x14ac:dyDescent="0.4">
      <c r="A33" s="39" t="s">
        <v>149</v>
      </c>
      <c r="B33" s="39"/>
      <c r="C33" s="39"/>
      <c r="D33" s="39"/>
      <c r="E33" s="39"/>
      <c r="F33" s="39"/>
      <c r="G33" s="92">
        <f>AVERAGE(C30:E30)</f>
        <v>5.1739615199189494E-2</v>
      </c>
      <c r="H33" s="92">
        <v>5.1499999999999997E-2</v>
      </c>
      <c r="I33" s="92">
        <v>5.2999999999999999E-2</v>
      </c>
      <c r="J33" s="92">
        <v>5.2999999999999999E-2</v>
      </c>
      <c r="K33" s="92">
        <v>5.2999999999999999E-2</v>
      </c>
      <c r="L33" s="92">
        <v>5.2999999999999999E-2</v>
      </c>
      <c r="M33" s="92">
        <v>5.2999999999999999E-2</v>
      </c>
      <c r="N33" s="92">
        <v>5.2999999999999999E-2</v>
      </c>
    </row>
    <row r="34" spans="1:14" ht="16" x14ac:dyDescent="0.4">
      <c r="A34" s="39" t="s">
        <v>150</v>
      </c>
      <c r="B34" s="39"/>
      <c r="C34" s="39"/>
      <c r="D34" s="39"/>
      <c r="E34" s="39"/>
      <c r="F34" s="39"/>
      <c r="G34" s="92">
        <v>0.06</v>
      </c>
      <c r="H34" s="92">
        <v>0.06</v>
      </c>
      <c r="I34" s="92">
        <v>0.06</v>
      </c>
      <c r="J34" s="92">
        <v>0.06</v>
      </c>
      <c r="K34" s="92">
        <v>0.06</v>
      </c>
      <c r="L34" s="92">
        <v>0.06</v>
      </c>
      <c r="M34" s="92">
        <v>0.06</v>
      </c>
      <c r="N34" s="92">
        <v>0.06</v>
      </c>
    </row>
    <row r="35" spans="1:14" ht="16" x14ac:dyDescent="0.4">
      <c r="A35" s="39"/>
      <c r="B35" s="39"/>
      <c r="C35" s="39"/>
      <c r="D35" s="39"/>
      <c r="E35" s="39"/>
      <c r="F35" s="39"/>
      <c r="G35" s="89"/>
      <c r="H35" s="89"/>
      <c r="I35" s="89"/>
      <c r="J35" s="89"/>
      <c r="K35" s="89"/>
      <c r="L35" s="89"/>
      <c r="M35" s="89"/>
      <c r="N35" s="89"/>
    </row>
    <row r="36" spans="1:14" ht="16" x14ac:dyDescent="0.4">
      <c r="A36" s="5" t="s">
        <v>77</v>
      </c>
      <c r="B36" s="39">
        <v>638.87</v>
      </c>
      <c r="C36" s="39">
        <v>730.76</v>
      </c>
      <c r="D36" s="39">
        <v>869.52</v>
      </c>
      <c r="E36" s="39">
        <v>1037.02</v>
      </c>
      <c r="F36" s="39"/>
      <c r="G36" s="90">
        <f>G37*'BS assumptions'!F16</f>
        <v>1290.4340476799998</v>
      </c>
      <c r="H36" s="90">
        <f>H37*'BS assumptions'!G16</f>
        <v>1628.0789215468799</v>
      </c>
      <c r="I36" s="90">
        <f>I37*'BS assumptions'!H16</f>
        <v>2147.4360975203344</v>
      </c>
      <c r="J36" s="90">
        <f>J37*'BS assumptions'!I16</f>
        <v>2639.3453799500494</v>
      </c>
      <c r="K36" s="90">
        <f>K37*'BS assumptions'!J16</f>
        <v>3481.2965561541146</v>
      </c>
      <c r="L36" s="90">
        <f>L37*'BS assumptions'!K16</f>
        <v>4591.8301575672767</v>
      </c>
      <c r="M36" s="90">
        <f>M37*'BS assumptions'!L16</f>
        <v>5908.9014417865737</v>
      </c>
      <c r="N36" s="90">
        <f>N37*'BS assumptions'!M16</f>
        <v>7793.8410017164906</v>
      </c>
    </row>
    <row r="37" spans="1:14" ht="16" x14ac:dyDescent="0.4">
      <c r="A37" s="5" t="s">
        <v>208</v>
      </c>
      <c r="B37" s="91">
        <f>B36/('Balance Sheet'!B6+'Balance Sheet'!B7+'Balance Sheet'!B8)</f>
        <v>5.2975832631958632E-2</v>
      </c>
      <c r="C37" s="91">
        <f>C36/('Balance Sheet'!C6+'Balance Sheet'!C7+'Balance Sheet'!C8)</f>
        <v>5.1340814739301827E-2</v>
      </c>
      <c r="D37" s="91">
        <f>D36/('Balance Sheet'!D6+'Balance Sheet'!D7+'Balance Sheet'!D8)</f>
        <v>5.0580219429919651E-2</v>
      </c>
      <c r="E37" s="91">
        <f>E36/('Balance Sheet'!E6+'Balance Sheet'!E7+'Balance Sheet'!E8)</f>
        <v>4.8758905263791404E-2</v>
      </c>
      <c r="F37" s="39"/>
      <c r="G37" s="92">
        <f>CHOOSE($C$2,G39,G40,G41)</f>
        <v>4.5999999999999999E-2</v>
      </c>
      <c r="H37" s="92">
        <f t="shared" ref="H37:N37" si="16">CHOOSE($C$2,H39,H40,H41)</f>
        <v>4.3999999999999997E-2</v>
      </c>
      <c r="I37" s="92">
        <f t="shared" si="16"/>
        <v>4.3999999999999997E-2</v>
      </c>
      <c r="J37" s="92">
        <f t="shared" si="16"/>
        <v>4.1000000000000002E-2</v>
      </c>
      <c r="K37" s="92">
        <f>CHOOSE($C$2,K39,K40,K41)</f>
        <v>4.1000000000000002E-2</v>
      </c>
      <c r="L37" s="92">
        <f t="shared" si="16"/>
        <v>4.1000000000000002E-2</v>
      </c>
      <c r="M37" s="92">
        <f t="shared" si="16"/>
        <v>0.04</v>
      </c>
      <c r="N37" s="92">
        <f t="shared" si="16"/>
        <v>0.04</v>
      </c>
    </row>
    <row r="38" spans="1:14" ht="16" x14ac:dyDescent="0.4">
      <c r="A38" s="39"/>
      <c r="B38" s="39"/>
      <c r="C38" s="39"/>
      <c r="D38" s="39"/>
      <c r="E38" s="39"/>
      <c r="F38" s="39"/>
      <c r="G38" s="89"/>
      <c r="H38" s="89"/>
      <c r="I38" s="89"/>
      <c r="J38" s="89"/>
      <c r="K38" s="89"/>
      <c r="L38" s="89"/>
      <c r="M38" s="89"/>
      <c r="N38" s="89"/>
    </row>
    <row r="39" spans="1:14" ht="16" x14ac:dyDescent="0.4">
      <c r="A39" s="39" t="s">
        <v>148</v>
      </c>
      <c r="B39" s="39"/>
      <c r="C39" s="39"/>
      <c r="D39" s="39"/>
      <c r="E39" s="39"/>
      <c r="F39" s="39"/>
      <c r="G39" s="92">
        <v>0.04</v>
      </c>
      <c r="H39" s="92">
        <v>0.04</v>
      </c>
      <c r="I39" s="92">
        <v>0.04</v>
      </c>
      <c r="J39" s="92">
        <v>0.04</v>
      </c>
      <c r="K39" s="92">
        <v>3.5000000000000003E-2</v>
      </c>
      <c r="L39" s="92">
        <v>3.5000000000000003E-2</v>
      </c>
      <c r="M39" s="92">
        <v>3.5000000000000003E-2</v>
      </c>
      <c r="N39" s="92">
        <v>3.5000000000000003E-2</v>
      </c>
    </row>
    <row r="40" spans="1:14" ht="16" x14ac:dyDescent="0.4">
      <c r="A40" s="39" t="s">
        <v>149</v>
      </c>
      <c r="B40" s="39"/>
      <c r="C40" s="39"/>
      <c r="D40" s="39"/>
      <c r="E40" s="39"/>
      <c r="F40" s="39"/>
      <c r="G40" s="92">
        <v>4.5999999999999999E-2</v>
      </c>
      <c r="H40" s="92">
        <v>4.3999999999999997E-2</v>
      </c>
      <c r="I40" s="92">
        <v>4.3999999999999997E-2</v>
      </c>
      <c r="J40" s="92">
        <v>4.1000000000000002E-2</v>
      </c>
      <c r="K40" s="92">
        <v>4.1000000000000002E-2</v>
      </c>
      <c r="L40" s="92">
        <v>4.1000000000000002E-2</v>
      </c>
      <c r="M40" s="92">
        <v>0.04</v>
      </c>
      <c r="N40" s="92">
        <v>0.04</v>
      </c>
    </row>
    <row r="41" spans="1:14" ht="16" x14ac:dyDescent="0.4">
      <c r="A41" s="39" t="s">
        <v>150</v>
      </c>
      <c r="B41" s="39"/>
      <c r="C41" s="39"/>
      <c r="D41" s="39"/>
      <c r="E41" s="39"/>
      <c r="F41" s="39"/>
      <c r="G41" s="92">
        <v>5.5E-2</v>
      </c>
      <c r="H41" s="92">
        <v>5.5E-2</v>
      </c>
      <c r="I41" s="92">
        <v>5.5E-2</v>
      </c>
      <c r="J41" s="92">
        <v>5.5E-2</v>
      </c>
      <c r="K41" s="92">
        <v>0.05</v>
      </c>
      <c r="L41" s="92">
        <v>0.05</v>
      </c>
      <c r="M41" s="92">
        <v>0.05</v>
      </c>
      <c r="N41" s="92">
        <v>0.05</v>
      </c>
    </row>
    <row r="42" spans="1:14" ht="16" x14ac:dyDescent="0.4">
      <c r="A42" s="39"/>
      <c r="B42" s="39"/>
      <c r="C42" s="39"/>
      <c r="D42" s="39"/>
      <c r="E42" s="39"/>
      <c r="F42" s="39"/>
      <c r="G42" s="89"/>
      <c r="H42" s="89"/>
      <c r="I42" s="89"/>
      <c r="J42" s="89"/>
      <c r="K42" s="89"/>
      <c r="L42" s="89"/>
      <c r="M42" s="89"/>
      <c r="N42" s="89"/>
    </row>
    <row r="43" spans="1:14" ht="16" x14ac:dyDescent="0.4">
      <c r="A43" s="5" t="s">
        <v>151</v>
      </c>
      <c r="B43" s="91">
        <v>0.2227875650716156</v>
      </c>
      <c r="C43" s="91">
        <v>0.26744632843444599</v>
      </c>
      <c r="D43" s="91">
        <v>0.26281152404109309</v>
      </c>
      <c r="E43" s="91">
        <v>0.27238204438433739</v>
      </c>
      <c r="F43" s="39"/>
      <c r="G43" s="92">
        <f>CHOOSE($C$2,G45,G46,G47)</f>
        <v>0.27</v>
      </c>
      <c r="H43" s="92">
        <f t="shared" ref="H43:N43" si="17">CHOOSE($C$2,H45,H46,H47)</f>
        <v>0.27</v>
      </c>
      <c r="I43" s="92">
        <f t="shared" si="17"/>
        <v>0.27</v>
      </c>
      <c r="J43" s="92">
        <f t="shared" si="17"/>
        <v>0.27</v>
      </c>
      <c r="K43" s="92">
        <f t="shared" si="17"/>
        <v>0.27</v>
      </c>
      <c r="L43" s="92">
        <f t="shared" si="17"/>
        <v>0.27</v>
      </c>
      <c r="M43" s="92">
        <f t="shared" si="17"/>
        <v>0.27</v>
      </c>
      <c r="N43" s="92">
        <f t="shared" si="17"/>
        <v>0.27</v>
      </c>
    </row>
    <row r="44" spans="1:14" ht="16" x14ac:dyDescent="0.4">
      <c r="A44" s="5"/>
      <c r="B44" s="39"/>
      <c r="C44" s="91"/>
      <c r="D44" s="91"/>
      <c r="E44" s="91"/>
      <c r="F44" s="39"/>
      <c r="G44" s="89"/>
      <c r="H44" s="89"/>
      <c r="I44" s="89"/>
      <c r="J44" s="89"/>
      <c r="K44" s="89"/>
      <c r="L44" s="89"/>
      <c r="M44" s="89"/>
      <c r="N44" s="89"/>
    </row>
    <row r="45" spans="1:14" ht="16" x14ac:dyDescent="0.4">
      <c r="A45" s="39" t="s">
        <v>148</v>
      </c>
      <c r="B45" s="39"/>
      <c r="C45" s="39"/>
      <c r="D45" s="39"/>
      <c r="E45" s="39"/>
      <c r="F45" s="39"/>
      <c r="G45" s="92">
        <v>0.25</v>
      </c>
      <c r="H45" s="92">
        <v>0.25</v>
      </c>
      <c r="I45" s="92">
        <v>0.25</v>
      </c>
      <c r="J45" s="92">
        <v>0.25</v>
      </c>
      <c r="K45" s="92">
        <v>0.25</v>
      </c>
      <c r="L45" s="92">
        <v>0.25</v>
      </c>
      <c r="M45" s="92">
        <v>0.25</v>
      </c>
      <c r="N45" s="92">
        <v>0.25</v>
      </c>
    </row>
    <row r="46" spans="1:14" ht="16" x14ac:dyDescent="0.4">
      <c r="A46" s="39" t="s">
        <v>149</v>
      </c>
      <c r="B46" s="39"/>
      <c r="C46" s="39"/>
      <c r="D46" s="39"/>
      <c r="E46" s="39"/>
      <c r="F46" s="39"/>
      <c r="G46" s="92">
        <v>0.27</v>
      </c>
      <c r="H46" s="92">
        <v>0.27</v>
      </c>
      <c r="I46" s="92">
        <v>0.27</v>
      </c>
      <c r="J46" s="92">
        <v>0.27</v>
      </c>
      <c r="K46" s="92">
        <v>0.27</v>
      </c>
      <c r="L46" s="92">
        <v>0.27</v>
      </c>
      <c r="M46" s="92">
        <v>0.27</v>
      </c>
      <c r="N46" s="92">
        <v>0.27</v>
      </c>
    </row>
    <row r="47" spans="1:14" ht="16" x14ac:dyDescent="0.4">
      <c r="A47" s="39" t="s">
        <v>150</v>
      </c>
      <c r="B47" s="39"/>
      <c r="C47" s="39"/>
      <c r="D47" s="39"/>
      <c r="E47" s="39"/>
      <c r="F47" s="39"/>
      <c r="G47" s="92">
        <v>0.3</v>
      </c>
      <c r="H47" s="92">
        <v>0.3</v>
      </c>
      <c r="I47" s="92">
        <v>0.3</v>
      </c>
      <c r="J47" s="92">
        <v>0.3</v>
      </c>
      <c r="K47" s="92">
        <v>0.3</v>
      </c>
      <c r="L47" s="92">
        <v>0.3</v>
      </c>
      <c r="M47" s="92">
        <v>0.3</v>
      </c>
      <c r="N47" s="92">
        <v>0.3</v>
      </c>
    </row>
  </sheetData>
  <mergeCells count="10">
    <mergeCell ref="G6:N6"/>
    <mergeCell ref="G4:H4"/>
    <mergeCell ref="J4:L4"/>
    <mergeCell ref="A1:B1"/>
    <mergeCell ref="G1:H1"/>
    <mergeCell ref="A2:B2"/>
    <mergeCell ref="G2:H2"/>
    <mergeCell ref="J2:L2"/>
    <mergeCell ref="G3:H3"/>
    <mergeCell ref="J3:L3"/>
  </mergeCells>
  <phoneticPr fontId="8" type="noConversion"/>
  <dataValidations count="1">
    <dataValidation type="list" allowBlank="1" showInputMessage="1" showErrorMessage="1" sqref="C2" xr:uid="{9A51DDB6-0E45-456A-A755-3C424310A879}">
      <formula1>"1,2,3"</formula1>
    </dataValidation>
  </dataValidations>
  <pageMargins left="0.7" right="0.7" top="0.75" bottom="0.75" header="0.3" footer="0.3"/>
  <ignoredErrors>
    <ignoredError sqref="I19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58D-B580-47F2-BFCE-A12D59B42EC1}">
  <dimension ref="A1:M21"/>
  <sheetViews>
    <sheetView topLeftCell="A3" workbookViewId="0">
      <selection activeCell="J21" sqref="J21"/>
    </sheetView>
  </sheetViews>
  <sheetFormatPr defaultRowHeight="14.5" x14ac:dyDescent="0.35"/>
  <cols>
    <col min="1" max="1" width="35.54296875" customWidth="1"/>
    <col min="2" max="2" width="12.453125" customWidth="1"/>
    <col min="3" max="3" width="11.7265625" customWidth="1"/>
    <col min="4" max="4" width="12" customWidth="1"/>
    <col min="5" max="5" width="11.81640625" customWidth="1"/>
    <col min="6" max="6" width="10.54296875" customWidth="1"/>
    <col min="7" max="7" width="12.453125" customWidth="1"/>
    <col min="8" max="8" width="12.36328125" customWidth="1"/>
    <col min="9" max="9" width="11.1796875" customWidth="1"/>
    <col min="10" max="10" width="11.36328125" customWidth="1"/>
    <col min="11" max="12" width="12" customWidth="1"/>
    <col min="13" max="13" width="12.08984375" customWidth="1"/>
  </cols>
  <sheetData>
    <row r="1" spans="1:13" ht="18.5" x14ac:dyDescent="0.45">
      <c r="A1" s="199" t="s">
        <v>152</v>
      </c>
      <c r="B1" s="199"/>
      <c r="C1" s="199"/>
    </row>
    <row r="2" spans="1:13" x14ac:dyDescent="0.35">
      <c r="A2" s="1"/>
      <c r="B2" s="1"/>
      <c r="C2" s="1"/>
    </row>
    <row r="3" spans="1:13" ht="15" thickBot="1" x14ac:dyDescent="0.4">
      <c r="F3" s="209" t="s">
        <v>206</v>
      </c>
      <c r="G3" s="209"/>
      <c r="H3" s="209"/>
      <c r="I3" s="209"/>
      <c r="J3" s="209"/>
      <c r="K3" s="209"/>
      <c r="L3" s="209"/>
      <c r="M3" s="209"/>
    </row>
    <row r="4" spans="1:13" ht="19" thickBot="1" x14ac:dyDescent="0.5">
      <c r="A4" s="95" t="s">
        <v>153</v>
      </c>
      <c r="B4" s="86" t="s">
        <v>30</v>
      </c>
      <c r="C4" s="87" t="s">
        <v>31</v>
      </c>
      <c r="D4" s="88" t="s">
        <v>63</v>
      </c>
      <c r="E4" s="88" t="s">
        <v>64</v>
      </c>
      <c r="F4" s="151" t="s">
        <v>141</v>
      </c>
      <c r="G4" s="152" t="s">
        <v>142</v>
      </c>
      <c r="H4" s="152" t="s">
        <v>143</v>
      </c>
      <c r="I4" s="152" t="s">
        <v>204</v>
      </c>
      <c r="J4" s="152" t="s">
        <v>144</v>
      </c>
      <c r="K4" s="152" t="s">
        <v>145</v>
      </c>
      <c r="L4" s="152" t="s">
        <v>203</v>
      </c>
      <c r="M4" s="153" t="s">
        <v>205</v>
      </c>
    </row>
    <row r="5" spans="1:13" ht="18" thickBot="1" x14ac:dyDescent="0.45">
      <c r="A5" s="94" t="s">
        <v>154</v>
      </c>
      <c r="B5" s="39">
        <v>62.16</v>
      </c>
      <c r="C5" s="39">
        <v>166.37</v>
      </c>
      <c r="D5" s="39">
        <v>153.79</v>
      </c>
      <c r="E5" s="39">
        <v>149.34</v>
      </c>
      <c r="F5" s="90">
        <f>F6*'P&amp;L Assumptions'!G8/365</f>
        <v>146.793695670137</v>
      </c>
      <c r="G5" s="90">
        <f>G6*'P&amp;L Assumptions'!H8/365</f>
        <v>165.19768139594518</v>
      </c>
      <c r="H5" s="90">
        <f>H6*'P&amp;L Assumptions'!I8/365</f>
        <v>176.58361389831182</v>
      </c>
      <c r="I5" s="90">
        <f>I6*'P&amp;L Assumptions'!J8/365</f>
        <v>203.9540740525502</v>
      </c>
      <c r="J5" s="90">
        <f>J6*'P&amp;L Assumptions'!K8/365</f>
        <v>227.71472367967232</v>
      </c>
      <c r="K5" s="90">
        <f>K6*'P&amp;L Assumptions'!L8/365</f>
        <v>263.0105058500215</v>
      </c>
      <c r="L5" s="90">
        <f>L6*'P&amp;L Assumptions'!M8/365</f>
        <v>303.77713425677484</v>
      </c>
      <c r="M5" s="90">
        <f>M6*'P&amp;L Assumptions'!N8/365</f>
        <v>362.96130006887068</v>
      </c>
    </row>
    <row r="6" spans="1:13" ht="18" thickBot="1" x14ac:dyDescent="0.45">
      <c r="A6" s="93" t="s">
        <v>155</v>
      </c>
      <c r="B6" s="84">
        <f>(B5/'Ratio analysis'!B5)*365</f>
        <v>0.52961328267610586</v>
      </c>
      <c r="C6" s="84">
        <f>(C5/'Ratio analysis'!C5)*365</f>
        <v>1.1956378991207319</v>
      </c>
      <c r="D6" s="84">
        <f>(D5/'Ratio analysis'!D5)*365</f>
        <v>0.94567375444442647</v>
      </c>
      <c r="E6" s="84">
        <f>(E5/'Ratio analysis'!E5)*365</f>
        <v>0.79204466560516484</v>
      </c>
      <c r="F6" s="89">
        <v>0.67</v>
      </c>
      <c r="G6" s="89">
        <v>0.65</v>
      </c>
      <c r="H6" s="89">
        <v>0.6</v>
      </c>
      <c r="I6" s="89">
        <v>0.6</v>
      </c>
      <c r="J6" s="89">
        <v>0.57999999999999996</v>
      </c>
      <c r="K6" s="89">
        <v>0.57999999999999996</v>
      </c>
      <c r="L6" s="89">
        <v>0.57999999999999996</v>
      </c>
      <c r="M6" s="89">
        <v>0.6</v>
      </c>
    </row>
    <row r="7" spans="1:13" ht="18" thickBot="1" x14ac:dyDescent="0.45">
      <c r="A7" s="93"/>
      <c r="B7" s="39"/>
      <c r="C7" s="39"/>
      <c r="D7" s="39"/>
      <c r="E7" s="39"/>
      <c r="F7" s="79"/>
      <c r="G7" s="79"/>
      <c r="H7" s="79"/>
      <c r="I7" s="79"/>
      <c r="J7" s="79"/>
      <c r="K7" s="79"/>
      <c r="L7" s="79"/>
      <c r="M7" s="79"/>
    </row>
    <row r="8" spans="1:13" ht="18" thickBot="1" x14ac:dyDescent="0.45">
      <c r="A8" s="93" t="s">
        <v>156</v>
      </c>
      <c r="B8" s="39">
        <f>'Balance Sheet'!B42+'Balance Sheet'!B43</f>
        <v>753.79</v>
      </c>
      <c r="C8" s="39">
        <f>'Balance Sheet'!C42+'Balance Sheet'!C43</f>
        <v>984.81000000000006</v>
      </c>
      <c r="D8" s="39">
        <f>'Balance Sheet'!D42+'Balance Sheet'!D43</f>
        <v>1070.81</v>
      </c>
      <c r="E8" s="39">
        <f>'Balance Sheet'!E42+'Balance Sheet'!E43</f>
        <v>1338.23</v>
      </c>
      <c r="F8" s="90">
        <f>F9*'P&amp;L Assumptions'!G15/365</f>
        <v>1477.8465469021446</v>
      </c>
      <c r="G8" s="90">
        <f>G9*'P&amp;L Assumptions'!H15/365</f>
        <v>1699.5235289374659</v>
      </c>
      <c r="H8" s="90">
        <f>H9*'P&amp;L Assumptions'!I15/365</f>
        <v>1937.4568229887116</v>
      </c>
      <c r="I8" s="90">
        <f>I9*'P&amp;L Assumptions'!J15/365</f>
        <v>2208.7007782071314</v>
      </c>
      <c r="J8" s="90">
        <f>J9*'P&amp;L Assumptions'!K15/365</f>
        <v>2513.5014855997151</v>
      </c>
      <c r="K8" s="90">
        <f>K9*'P&amp;L Assumptions'!L15/365</f>
        <v>2860.3646906124754</v>
      </c>
      <c r="L8" s="90">
        <f>L9*'P&amp;L Assumptions'!M15/365</f>
        <v>3255.0950179169968</v>
      </c>
      <c r="M8" s="90">
        <f>M9*'P&amp;L Assumptions'!N15/365</f>
        <v>3704.2981303895417</v>
      </c>
    </row>
    <row r="9" spans="1:13" ht="18" thickBot="1" x14ac:dyDescent="0.45">
      <c r="A9" s="93" t="s">
        <v>157</v>
      </c>
      <c r="B9" s="84">
        <f>(B8/('income statement'!B8+'income statement'!B9)*365)</f>
        <v>7.5619428346839754</v>
      </c>
      <c r="C9" s="84">
        <f>(C8/('income statement'!C8+'income statement'!C9))*365</f>
        <v>8.3064002528969691</v>
      </c>
      <c r="D9" s="84">
        <f>(D8/('income statement'!D8+'income statement'!D9))*365</f>
        <v>7.7316024980366622</v>
      </c>
      <c r="E9" s="84">
        <f>(E8/('income statement'!E8+'income statement'!E9))*365</f>
        <v>8.3553918227128321</v>
      </c>
      <c r="F9" s="90">
        <f>AVERAGE($B$9:$E$9)</f>
        <v>7.9888343520826099</v>
      </c>
      <c r="G9" s="90">
        <f t="shared" ref="G9:M9" si="0">AVERAGE($B$9:$E$9)</f>
        <v>7.9888343520826099</v>
      </c>
      <c r="H9" s="90">
        <f t="shared" si="0"/>
        <v>7.9888343520826099</v>
      </c>
      <c r="I9" s="90">
        <f t="shared" si="0"/>
        <v>7.9888343520826099</v>
      </c>
      <c r="J9" s="90">
        <f t="shared" si="0"/>
        <v>7.9888343520826099</v>
      </c>
      <c r="K9" s="90">
        <f t="shared" si="0"/>
        <v>7.9888343520826099</v>
      </c>
      <c r="L9" s="90">
        <f t="shared" si="0"/>
        <v>7.9888343520826099</v>
      </c>
      <c r="M9" s="90">
        <f t="shared" si="0"/>
        <v>7.9888343520826099</v>
      </c>
    </row>
    <row r="10" spans="1:13" ht="18" thickBot="1" x14ac:dyDescent="0.45">
      <c r="A10" s="93"/>
      <c r="B10" s="39"/>
      <c r="C10" s="39"/>
      <c r="D10" s="39"/>
      <c r="E10" s="39"/>
      <c r="F10" s="79"/>
      <c r="G10" s="79"/>
      <c r="H10" s="79"/>
      <c r="I10" s="79"/>
      <c r="J10" s="79"/>
      <c r="K10" s="79"/>
      <c r="L10" s="79"/>
      <c r="M10" s="79"/>
    </row>
    <row r="11" spans="1:13" ht="18" thickBot="1" x14ac:dyDescent="0.45">
      <c r="A11" s="93" t="s">
        <v>158</v>
      </c>
      <c r="B11" s="39">
        <v>3243.48</v>
      </c>
      <c r="C11" s="39">
        <v>3927.31</v>
      </c>
      <c r="D11" s="39">
        <v>5044.37</v>
      </c>
      <c r="E11" s="39">
        <v>5900.64</v>
      </c>
      <c r="F11" s="90">
        <f>F12*'P&amp;L Assumptions'!G15/365</f>
        <v>6807.5955175890394</v>
      </c>
      <c r="G11" s="90">
        <f>G12*'P&amp;L Assumptions'!H15/365</f>
        <v>7190.5227654534228</v>
      </c>
      <c r="H11" s="90">
        <f>H12*'P&amp;L Assumptions'!I15/365</f>
        <v>7954.6753623027926</v>
      </c>
      <c r="I11" s="90">
        <f>I12*'P&amp;L Assumptions'!J15/365</f>
        <v>9068.3299130251853</v>
      </c>
      <c r="J11" s="90">
        <f>J12*'P&amp;L Assumptions'!K15/365</f>
        <v>10319.759441022659</v>
      </c>
      <c r="K11" s="90">
        <f>K12*'P&amp;L Assumptions'!L15/365</f>
        <v>11743.886243883782</v>
      </c>
      <c r="L11" s="90">
        <f>L12*'P&amp;L Assumptions'!M15/365</f>
        <v>13364.542545539745</v>
      </c>
      <c r="M11" s="90">
        <f>M12*'P&amp;L Assumptions'!N15/365</f>
        <v>15208.849416824229</v>
      </c>
    </row>
    <row r="12" spans="1:13" ht="18" thickBot="1" x14ac:dyDescent="0.45">
      <c r="A12" s="93" t="s">
        <v>159</v>
      </c>
      <c r="B12" s="84">
        <f>(B11/('income statement'!B8+'income statement'!B9))*365</f>
        <v>32.538253817960943</v>
      </c>
      <c r="C12" s="84">
        <f>(C11/('income statement'!C8+'income statement'!C9))*365</f>
        <v>33.124977180577766</v>
      </c>
      <c r="D12" s="84">
        <f>(D11/('income statement'!D8+'income statement'!D9))*365</f>
        <v>36.422020426612754</v>
      </c>
      <c r="E12" s="84">
        <f>(E11/('income statement'!E8+'income statement'!E9))*365</f>
        <v>36.841319657138342</v>
      </c>
      <c r="F12" s="90">
        <v>36.799999999999997</v>
      </c>
      <c r="G12" s="90">
        <v>33.799999999999997</v>
      </c>
      <c r="H12" s="90">
        <v>32.799999999999997</v>
      </c>
      <c r="I12" s="90">
        <v>32.799999999999997</v>
      </c>
      <c r="J12" s="90">
        <v>32.799999999999997</v>
      </c>
      <c r="K12" s="90">
        <v>32.799999999999997</v>
      </c>
      <c r="L12" s="90">
        <v>32.799999999999997</v>
      </c>
      <c r="M12" s="90">
        <v>32.799999999999997</v>
      </c>
    </row>
    <row r="13" spans="1:13" ht="18" thickBot="1" x14ac:dyDescent="0.45">
      <c r="A13" s="93"/>
      <c r="B13" s="39"/>
      <c r="C13" s="39"/>
      <c r="D13" s="39"/>
      <c r="E13" s="39"/>
      <c r="F13" s="89"/>
      <c r="G13" s="89"/>
      <c r="H13" s="89"/>
      <c r="I13" s="89"/>
      <c r="J13" s="89"/>
      <c r="K13" s="89"/>
      <c r="L13" s="89"/>
      <c r="M13" s="89"/>
    </row>
    <row r="14" spans="1:13" ht="18" thickBot="1" x14ac:dyDescent="0.45">
      <c r="A14" s="93" t="s">
        <v>160</v>
      </c>
      <c r="B14" s="84">
        <f>B12+B6-B9</f>
        <v>25.50592426595307</v>
      </c>
      <c r="C14" s="84">
        <f t="shared" ref="C14:E14" si="1">C12+C6-C9</f>
        <v>26.014214826801528</v>
      </c>
      <c r="D14" s="84">
        <f t="shared" si="1"/>
        <v>29.636091683020521</v>
      </c>
      <c r="E14" s="84">
        <f t="shared" si="1"/>
        <v>29.277972500030678</v>
      </c>
      <c r="F14" s="90">
        <f>F12+F6-F9</f>
        <v>29.48116564791739</v>
      </c>
      <c r="G14" s="90">
        <f t="shared" ref="G14:M14" si="2">G12+G6-G9</f>
        <v>26.461165647917387</v>
      </c>
      <c r="H14" s="90">
        <f t="shared" si="2"/>
        <v>25.41116564791739</v>
      </c>
      <c r="I14" s="90">
        <f t="shared" si="2"/>
        <v>25.41116564791739</v>
      </c>
      <c r="J14" s="90">
        <f t="shared" si="2"/>
        <v>25.391165647917386</v>
      </c>
      <c r="K14" s="90">
        <f t="shared" si="2"/>
        <v>25.391165647917386</v>
      </c>
      <c r="L14" s="90">
        <f t="shared" si="2"/>
        <v>25.391165647917386</v>
      </c>
      <c r="M14" s="90">
        <f t="shared" si="2"/>
        <v>25.41116564791739</v>
      </c>
    </row>
    <row r="15" spans="1:13" ht="18" thickBot="1" x14ac:dyDescent="0.45">
      <c r="A15" s="93"/>
      <c r="B15" s="39"/>
      <c r="C15" s="39"/>
      <c r="D15" s="39"/>
      <c r="E15" s="39"/>
      <c r="F15" s="89"/>
      <c r="G15" s="89"/>
      <c r="H15" s="89"/>
      <c r="I15" s="89"/>
      <c r="J15" s="89"/>
      <c r="K15" s="89"/>
      <c r="L15" s="89"/>
      <c r="M15" s="89"/>
    </row>
    <row r="16" spans="1:13" ht="20.5" customHeight="1" thickBot="1" x14ac:dyDescent="0.45">
      <c r="A16" s="93" t="s">
        <v>161</v>
      </c>
      <c r="B16" s="85">
        <f>'Balance Sheet'!B6+'Balance Sheet'!B7+'Balance Sheet'!B8</f>
        <v>12059.650000000001</v>
      </c>
      <c r="C16" s="85">
        <f>'Balance Sheet'!C6+'Balance Sheet'!C7+'Balance Sheet'!C8</f>
        <v>14233.51</v>
      </c>
      <c r="D16" s="85">
        <f>'Balance Sheet'!D6+'Balance Sheet'!D7+'Balance Sheet'!D8</f>
        <v>17190.91</v>
      </c>
      <c r="E16" s="85">
        <f>'Balance Sheet'!E6+'Balance Sheet'!E7+'Balance Sheet'!E8</f>
        <v>21268.32</v>
      </c>
      <c r="F16" s="90">
        <f>E16*(1+F17)</f>
        <v>28052.914079999999</v>
      </c>
      <c r="G16" s="90">
        <f t="shared" ref="G16:J16" si="3">F16*(1+G17)</f>
        <v>37001.793671519998</v>
      </c>
      <c r="H16" s="90">
        <f t="shared" si="3"/>
        <v>48805.365852734874</v>
      </c>
      <c r="I16" s="90">
        <f t="shared" si="3"/>
        <v>64374.277559757298</v>
      </c>
      <c r="J16" s="90">
        <f t="shared" si="3"/>
        <v>84909.672101319869</v>
      </c>
      <c r="K16" s="90">
        <f t="shared" ref="K16" si="4">J16*(1+K17)</f>
        <v>111995.8575016409</v>
      </c>
      <c r="L16" s="90">
        <f t="shared" ref="L16" si="5">K16*(1+L17)</f>
        <v>147722.53604466433</v>
      </c>
      <c r="M16" s="90">
        <f t="shared" ref="M16" si="6">L16*(1+M17)</f>
        <v>194846.02504291225</v>
      </c>
    </row>
    <row r="17" spans="1:13" ht="18" thickBot="1" x14ac:dyDescent="0.45">
      <c r="A17" s="93" t="s">
        <v>162</v>
      </c>
      <c r="B17" s="91">
        <f>B16/'income statement'!B5</f>
        <v>0.28150732640578013</v>
      </c>
      <c r="C17" s="91">
        <f>C16/'income statement'!C5</f>
        <v>0.28024882636595488</v>
      </c>
      <c r="D17" s="91">
        <f>D16/'income statement'!D5</f>
        <v>0.2896137929059327</v>
      </c>
      <c r="E17" s="91">
        <f>E16/'income statement'!E5</f>
        <v>0.30903939713522405</v>
      </c>
      <c r="F17" s="92">
        <v>0.31900000000000001</v>
      </c>
      <c r="G17" s="92">
        <v>0.31900000000000001</v>
      </c>
      <c r="H17" s="92">
        <v>0.31900000000000001</v>
      </c>
      <c r="I17" s="92">
        <v>0.31900000000000001</v>
      </c>
      <c r="J17" s="92">
        <v>0.31900000000000001</v>
      </c>
      <c r="K17" s="92">
        <v>0.31900000000000001</v>
      </c>
      <c r="L17" s="92">
        <v>0.31900000000000001</v>
      </c>
      <c r="M17" s="92">
        <v>0.31900000000000001</v>
      </c>
    </row>
    <row r="18" spans="1:13" x14ac:dyDescent="0.35">
      <c r="A18" s="82"/>
    </row>
    <row r="19" spans="1:13" x14ac:dyDescent="0.35">
      <c r="A19" s="83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x14ac:dyDescent="0.35">
      <c r="A20" s="81"/>
      <c r="D20" s="19"/>
      <c r="E20" s="19"/>
    </row>
    <row r="21" spans="1:13" x14ac:dyDescent="0.35">
      <c r="A21" s="83"/>
    </row>
  </sheetData>
  <mergeCells count="2">
    <mergeCell ref="A1:C1"/>
    <mergeCell ref="F3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2BC6-E823-4AFE-9D8E-E56333CED10A}">
  <dimension ref="A1:M27"/>
  <sheetViews>
    <sheetView showGridLines="0" topLeftCell="B10" workbookViewId="0">
      <selection activeCell="C24" sqref="C24:N27"/>
    </sheetView>
  </sheetViews>
  <sheetFormatPr defaultRowHeight="14.5" x14ac:dyDescent="0.35"/>
  <cols>
    <col min="1" max="1" width="30.1796875" bestFit="1" customWidth="1"/>
    <col min="2" max="2" width="11.36328125" customWidth="1"/>
    <col min="3" max="3" width="10.90625" customWidth="1"/>
    <col min="4" max="4" width="10.6328125" customWidth="1"/>
    <col min="5" max="5" width="10.453125" customWidth="1"/>
    <col min="6" max="6" width="13.453125" customWidth="1"/>
    <col min="7" max="7" width="13.26953125" customWidth="1"/>
    <col min="8" max="8" width="15.08984375" bestFit="1" customWidth="1"/>
    <col min="9" max="9" width="12.7265625" customWidth="1"/>
    <col min="10" max="10" width="15.08984375" bestFit="1" customWidth="1"/>
    <col min="11" max="11" width="13.26953125" customWidth="1"/>
    <col min="12" max="12" width="13.7265625" customWidth="1"/>
    <col min="13" max="13" width="13.54296875" customWidth="1"/>
  </cols>
  <sheetData>
    <row r="1" spans="1:13" ht="18.5" x14ac:dyDescent="0.45">
      <c r="A1" s="80" t="s">
        <v>163</v>
      </c>
    </row>
    <row r="2" spans="1:13" ht="18.5" x14ac:dyDescent="0.45">
      <c r="A2" s="80"/>
    </row>
    <row r="3" spans="1:13" ht="16" x14ac:dyDescent="0.4">
      <c r="F3" s="210" t="s">
        <v>139</v>
      </c>
      <c r="G3" s="210"/>
      <c r="H3" s="210"/>
      <c r="I3" s="210"/>
      <c r="J3" s="210"/>
      <c r="K3" s="210"/>
      <c r="L3" s="210"/>
      <c r="M3" s="210"/>
    </row>
    <row r="4" spans="1:13" x14ac:dyDescent="0.35">
      <c r="F4" s="79"/>
      <c r="G4" s="79"/>
      <c r="H4" s="79"/>
      <c r="I4" s="79"/>
      <c r="J4" s="79"/>
      <c r="K4" s="79"/>
      <c r="L4" s="79"/>
      <c r="M4" s="79"/>
    </row>
    <row r="5" spans="1:13" ht="18.5" x14ac:dyDescent="0.45">
      <c r="A5" s="103" t="s">
        <v>164</v>
      </c>
      <c r="B5" s="104" t="s">
        <v>30</v>
      </c>
      <c r="C5" s="104" t="s">
        <v>31</v>
      </c>
      <c r="D5" s="104" t="s">
        <v>63</v>
      </c>
      <c r="E5" s="104" t="s">
        <v>64</v>
      </c>
      <c r="F5" s="162" t="s">
        <v>141</v>
      </c>
      <c r="G5" s="162" t="s">
        <v>142</v>
      </c>
      <c r="H5" s="162" t="s">
        <v>143</v>
      </c>
      <c r="I5" s="162" t="s">
        <v>204</v>
      </c>
      <c r="J5" s="162" t="s">
        <v>144</v>
      </c>
      <c r="K5" s="162" t="s">
        <v>145</v>
      </c>
      <c r="L5" s="162" t="s">
        <v>203</v>
      </c>
      <c r="M5" s="162" t="s">
        <v>205</v>
      </c>
    </row>
    <row r="6" spans="1:13" ht="18.5" x14ac:dyDescent="0.45">
      <c r="A6" s="18" t="s">
        <v>165</v>
      </c>
      <c r="B6" s="18">
        <v>42839.56</v>
      </c>
      <c r="C6" s="18">
        <v>50788.83</v>
      </c>
      <c r="D6" s="18">
        <v>59358.05</v>
      </c>
      <c r="E6" s="18">
        <v>68820.740000000005</v>
      </c>
      <c r="F6" s="108">
        <f>'P&amp;L Assumptions'!G8</f>
        <v>79969.69988</v>
      </c>
      <c r="G6" s="108">
        <f>'P&amp;L Assumptions'!H8</f>
        <v>92764.851860799987</v>
      </c>
      <c r="H6" s="108">
        <f>'P&amp;L Assumptions'!I8</f>
        <v>107421.69845480638</v>
      </c>
      <c r="I6" s="108">
        <f>'P&amp;L Assumptions'!J8</f>
        <v>124072.06171530137</v>
      </c>
      <c r="J6" s="108">
        <f>'P&amp;L Assumptions'!K8</f>
        <v>143303.2312811731</v>
      </c>
      <c r="K6" s="108">
        <f>'P&amp;L Assumptions'!L8</f>
        <v>165515.23212975494</v>
      </c>
      <c r="L6" s="108">
        <f>'P&amp;L Assumptions'!M8</f>
        <v>191170.09310986695</v>
      </c>
      <c r="M6" s="108">
        <f>'P&amp;L Assumptions'!N8</f>
        <v>220801.45754189635</v>
      </c>
    </row>
    <row r="7" spans="1:13" ht="18.5" x14ac:dyDescent="0.45">
      <c r="A7" s="18" t="s">
        <v>166</v>
      </c>
      <c r="B7" s="18">
        <v>36383.949999999997</v>
      </c>
      <c r="C7" s="18">
        <v>43274.54</v>
      </c>
      <c r="D7" s="18">
        <v>50551.700000000004</v>
      </c>
      <c r="E7" s="18">
        <v>58459.729999999996</v>
      </c>
      <c r="F7" s="113">
        <f>'P&amp;L Assumptions'!G15</f>
        <v>67520.98814999999</v>
      </c>
      <c r="G7" s="108">
        <f>'P&amp;L Assumptions'!H15</f>
        <v>77649.136372499983</v>
      </c>
      <c r="H7" s="108">
        <f>'P&amp;L Assumptions'!I15</f>
        <v>88520.015464649987</v>
      </c>
      <c r="I7" s="113">
        <f>'P&amp;L Assumptions'!J15</f>
        <v>100912.81762970099</v>
      </c>
      <c r="J7" s="108">
        <f>'P&amp;L Assumptions'!K15</f>
        <v>114838.78646259972</v>
      </c>
      <c r="K7" s="108">
        <f>'P&amp;L Assumptions'!L15</f>
        <v>130686.53899443847</v>
      </c>
      <c r="L7" s="108">
        <f>'P&amp;L Assumptions'!M15</f>
        <v>148721.28137567095</v>
      </c>
      <c r="M7" s="108">
        <f>'P&amp;L Assumptions'!N15</f>
        <v>169244.81820551353</v>
      </c>
    </row>
    <row r="8" spans="1:13" ht="18.5" x14ac:dyDescent="0.45">
      <c r="A8" s="107" t="s">
        <v>167</v>
      </c>
      <c r="B8" s="107">
        <f>B6-B7</f>
        <v>6455.6100000000006</v>
      </c>
      <c r="C8" s="107">
        <f t="shared" ref="C8:M8" si="0">C6-C7</f>
        <v>7514.2900000000009</v>
      </c>
      <c r="D8" s="107">
        <f t="shared" si="0"/>
        <v>8806.3499999999985</v>
      </c>
      <c r="E8" s="112">
        <f t="shared" si="0"/>
        <v>10361.010000000009</v>
      </c>
      <c r="F8" s="114">
        <f t="shared" si="0"/>
        <v>12448.71173000001</v>
      </c>
      <c r="G8" s="115">
        <f t="shared" si="0"/>
        <v>15115.715488300004</v>
      </c>
      <c r="H8" s="115">
        <f t="shared" si="0"/>
        <v>18901.682990156391</v>
      </c>
      <c r="I8" s="115">
        <f t="shared" si="0"/>
        <v>23159.244085600381</v>
      </c>
      <c r="J8" s="115">
        <f t="shared" si="0"/>
        <v>28464.444818573378</v>
      </c>
      <c r="K8" s="115">
        <f t="shared" si="0"/>
        <v>34828.693135316469</v>
      </c>
      <c r="L8" s="115">
        <f t="shared" si="0"/>
        <v>42448.811734196002</v>
      </c>
      <c r="M8" s="115">
        <f t="shared" si="0"/>
        <v>51556.639336382825</v>
      </c>
    </row>
    <row r="9" spans="1:13" ht="18.5" x14ac:dyDescent="0.45">
      <c r="F9" s="113"/>
      <c r="G9" s="113"/>
      <c r="H9" s="113"/>
      <c r="I9" s="113"/>
      <c r="J9" s="113"/>
      <c r="K9" s="113"/>
      <c r="L9" s="113"/>
      <c r="M9" s="113"/>
    </row>
    <row r="10" spans="1:13" ht="18.5" x14ac:dyDescent="0.45">
      <c r="A10" s="18" t="s">
        <v>72</v>
      </c>
      <c r="B10" s="18">
        <v>746.97</v>
      </c>
      <c r="C10" s="18">
        <v>906.12</v>
      </c>
      <c r="D10" s="18">
        <v>1165.9000000000001</v>
      </c>
      <c r="E10" s="18">
        <v>1541.48</v>
      </c>
      <c r="F10" s="108">
        <f>'P&amp;L Assumptions'!G22</f>
        <v>1759.3333973599999</v>
      </c>
      <c r="G10" s="108">
        <f>'P&amp;L Assumptions'!H22</f>
        <v>2040.8267409375997</v>
      </c>
      <c r="H10" s="108">
        <f>'P&amp;L Assumptions'!I22</f>
        <v>2363.2773660057401</v>
      </c>
      <c r="I10" s="108">
        <f>'P&amp;L Assumptions'!J22</f>
        <v>2853.6574194519317</v>
      </c>
      <c r="J10" s="108">
        <f>'P&amp;L Assumptions'!K22</f>
        <v>3295.9743194669813</v>
      </c>
      <c r="K10" s="108">
        <f>'P&amp;L Assumptions'!L22</f>
        <v>3806.8503389843636</v>
      </c>
      <c r="L10" s="108">
        <f>'P&amp;L Assumptions'!M22</f>
        <v>4779.2523277466744</v>
      </c>
      <c r="M10" s="108">
        <f>'P&amp;L Assumptions'!N22</f>
        <v>5520.0364385474095</v>
      </c>
    </row>
    <row r="11" spans="1:13" ht="18.5" x14ac:dyDescent="0.45">
      <c r="A11" s="18" t="s">
        <v>74</v>
      </c>
      <c r="B11" s="18">
        <v>2071.61</v>
      </c>
      <c r="C11" s="18">
        <v>2504.4</v>
      </c>
      <c r="D11" s="18">
        <v>3153.12</v>
      </c>
      <c r="E11" s="18">
        <v>3632.94</v>
      </c>
      <c r="F11" s="118">
        <f>'P&amp;L Assumptions'!G29</f>
        <v>4137.6014993858698</v>
      </c>
      <c r="G11" s="118">
        <f>'P&amp;L Assumptions'!H29</f>
        <v>4777.389870831199</v>
      </c>
      <c r="H11" s="118">
        <f>'P&amp;L Assumptions'!I29</f>
        <v>5693.3500181047375</v>
      </c>
      <c r="I11" s="118">
        <f>'P&amp;L Assumptions'!J29</f>
        <v>6575.8192709109726</v>
      </c>
      <c r="J11" s="118">
        <f>'P&amp;L Assumptions'!K29</f>
        <v>7595.0712579021738</v>
      </c>
      <c r="K11" s="118">
        <f>'P&amp;L Assumptions'!L29</f>
        <v>8772.3073028770104</v>
      </c>
      <c r="L11" s="118">
        <f>'P&amp;L Assumptions'!M29</f>
        <v>10132.014934822948</v>
      </c>
      <c r="M11" s="118">
        <f>'P&amp;L Assumptions'!N29</f>
        <v>11702.477249720507</v>
      </c>
    </row>
    <row r="12" spans="1:13" ht="18.5" x14ac:dyDescent="0.45">
      <c r="A12" s="107" t="s">
        <v>76</v>
      </c>
      <c r="B12" s="106">
        <f>B8-(B10+B11)</f>
        <v>3637.0300000000007</v>
      </c>
      <c r="C12" s="106">
        <f t="shared" ref="C12:E12" si="1">C8-(C10+C11)</f>
        <v>4103.7700000000004</v>
      </c>
      <c r="D12" s="106">
        <f t="shared" si="1"/>
        <v>4487.3299999999981</v>
      </c>
      <c r="E12" s="106">
        <f t="shared" si="1"/>
        <v>5186.5900000000092</v>
      </c>
      <c r="F12" s="116">
        <f>F8-(F10+F11)</f>
        <v>6551.77683325414</v>
      </c>
      <c r="G12" s="116">
        <f t="shared" ref="G12:M12" si="2">G8-(G10+G11)</f>
        <v>8297.4988765312046</v>
      </c>
      <c r="H12" s="116">
        <f t="shared" si="2"/>
        <v>10845.055606045913</v>
      </c>
      <c r="I12" s="116">
        <f t="shared" si="2"/>
        <v>13729.767395237477</v>
      </c>
      <c r="J12" s="116">
        <f t="shared" si="2"/>
        <v>17573.399241204221</v>
      </c>
      <c r="K12" s="116">
        <f t="shared" si="2"/>
        <v>22249.535493455096</v>
      </c>
      <c r="L12" s="116">
        <f t="shared" si="2"/>
        <v>27537.544471626381</v>
      </c>
      <c r="M12" s="116">
        <f t="shared" si="2"/>
        <v>34334.12564811491</v>
      </c>
    </row>
    <row r="13" spans="1:13" ht="18.5" x14ac:dyDescent="0.45">
      <c r="F13" s="113"/>
      <c r="G13" s="113"/>
      <c r="H13" s="113"/>
      <c r="I13" s="113"/>
      <c r="J13" s="113"/>
      <c r="K13" s="113"/>
      <c r="L13" s="113"/>
      <c r="M13" s="113"/>
    </row>
    <row r="14" spans="1:13" ht="18.5" x14ac:dyDescent="0.45">
      <c r="A14" s="103" t="s">
        <v>168</v>
      </c>
      <c r="B14" s="105">
        <v>638.87</v>
      </c>
      <c r="C14" s="105">
        <v>730.76</v>
      </c>
      <c r="D14" s="105">
        <v>869.52</v>
      </c>
      <c r="E14" s="105">
        <v>1037.02</v>
      </c>
      <c r="F14" s="108">
        <f>'P&amp;L Assumptions'!G36</f>
        <v>1290.4340476799998</v>
      </c>
      <c r="G14" s="108">
        <f>'P&amp;L Assumptions'!H36</f>
        <v>1628.0789215468799</v>
      </c>
      <c r="H14" s="108">
        <f>'P&amp;L Assumptions'!I36</f>
        <v>2147.4360975203344</v>
      </c>
      <c r="I14" s="108">
        <f>'P&amp;L Assumptions'!J36</f>
        <v>2639.3453799500494</v>
      </c>
      <c r="J14" s="108">
        <f>'P&amp;L Assumptions'!K36</f>
        <v>3481.2965561541146</v>
      </c>
      <c r="K14" s="108">
        <f>'P&amp;L Assumptions'!L36</f>
        <v>4591.8301575672767</v>
      </c>
      <c r="L14" s="108">
        <f>'P&amp;L Assumptions'!M36</f>
        <v>5908.9014417865737</v>
      </c>
      <c r="M14" s="108">
        <f>'P&amp;L Assumptions'!N36</f>
        <v>7793.8410017164906</v>
      </c>
    </row>
    <row r="15" spans="1:13" ht="18.5" x14ac:dyDescent="0.45">
      <c r="A15" s="107" t="s">
        <v>78</v>
      </c>
      <c r="B15" s="109">
        <f>B12-B14</f>
        <v>2998.1600000000008</v>
      </c>
      <c r="C15" s="109">
        <f t="shared" ref="C15:M15" si="3">C12-C14</f>
        <v>3373.01</v>
      </c>
      <c r="D15" s="109">
        <f t="shared" si="3"/>
        <v>3617.8099999999981</v>
      </c>
      <c r="E15" s="109">
        <f t="shared" si="3"/>
        <v>4149.5700000000088</v>
      </c>
      <c r="F15" s="117">
        <f t="shared" si="3"/>
        <v>5261.3427855741402</v>
      </c>
      <c r="G15" s="117">
        <f t="shared" si="3"/>
        <v>6669.4199549843252</v>
      </c>
      <c r="H15" s="117">
        <f t="shared" si="3"/>
        <v>8697.6195085255786</v>
      </c>
      <c r="I15" s="117">
        <f t="shared" si="3"/>
        <v>11090.422015287428</v>
      </c>
      <c r="J15" s="117">
        <f t="shared" si="3"/>
        <v>14092.102685050106</v>
      </c>
      <c r="K15" s="117">
        <f t="shared" si="3"/>
        <v>17657.705335887818</v>
      </c>
      <c r="L15" s="117">
        <f t="shared" si="3"/>
        <v>21628.643029839808</v>
      </c>
      <c r="M15" s="117">
        <f t="shared" si="3"/>
        <v>26540.284646398421</v>
      </c>
    </row>
    <row r="16" spans="1:13" ht="18.5" x14ac:dyDescent="0.45">
      <c r="F16" s="113"/>
      <c r="G16" s="113"/>
      <c r="H16" s="113"/>
      <c r="I16" s="113"/>
      <c r="J16" s="113"/>
      <c r="K16" s="113"/>
      <c r="L16" s="113"/>
      <c r="M16" s="113"/>
    </row>
    <row r="17" spans="1:13" ht="18.5" x14ac:dyDescent="0.45">
      <c r="A17" s="18" t="s">
        <v>169</v>
      </c>
      <c r="B17" s="18">
        <v>681.75</v>
      </c>
      <c r="C17" s="18">
        <v>925.72</v>
      </c>
      <c r="D17" s="18">
        <v>965.22</v>
      </c>
      <c r="E17" s="18">
        <v>1111.76</v>
      </c>
      <c r="F17" s="108">
        <f>F15*F18</f>
        <v>1420.5625521050179</v>
      </c>
      <c r="G17" s="108">
        <f t="shared" ref="G17:J17" si="4">G15*G18</f>
        <v>1800.743387845768</v>
      </c>
      <c r="H17" s="108">
        <f t="shared" si="4"/>
        <v>2348.3572673019062</v>
      </c>
      <c r="I17" s="108">
        <f t="shared" si="4"/>
        <v>2994.4139441276056</v>
      </c>
      <c r="J17" s="108">
        <f t="shared" si="4"/>
        <v>3804.8677249635289</v>
      </c>
      <c r="K17" s="108">
        <f t="shared" ref="K17:M17" si="5">K15*K18</f>
        <v>4767.5804406897114</v>
      </c>
      <c r="L17" s="108">
        <f t="shared" si="5"/>
        <v>5839.733618056749</v>
      </c>
      <c r="M17" s="108">
        <f t="shared" si="5"/>
        <v>7165.8768545275743</v>
      </c>
    </row>
    <row r="18" spans="1:13" ht="18.5" x14ac:dyDescent="0.45">
      <c r="B18" s="111">
        <v>0.2227875650716156</v>
      </c>
      <c r="C18" s="111">
        <v>0.26744632843444599</v>
      </c>
      <c r="D18" s="111">
        <v>0.26281152404109309</v>
      </c>
      <c r="E18" s="111">
        <v>0.27238204438433739</v>
      </c>
      <c r="F18" s="119">
        <f>'P&amp;L Assumptions'!G43</f>
        <v>0.27</v>
      </c>
      <c r="G18" s="119">
        <f>'P&amp;L Assumptions'!H43</f>
        <v>0.27</v>
      </c>
      <c r="H18" s="119">
        <f>'P&amp;L Assumptions'!I43</f>
        <v>0.27</v>
      </c>
      <c r="I18" s="119">
        <f>'P&amp;L Assumptions'!J43</f>
        <v>0.27</v>
      </c>
      <c r="J18" s="119">
        <f>'P&amp;L Assumptions'!K43</f>
        <v>0.27</v>
      </c>
      <c r="K18" s="119">
        <f>'P&amp;L Assumptions'!L43</f>
        <v>0.27</v>
      </c>
      <c r="L18" s="119">
        <f>'P&amp;L Assumptions'!M43</f>
        <v>0.27</v>
      </c>
      <c r="M18" s="119">
        <f>'P&amp;L Assumptions'!N43</f>
        <v>0.27</v>
      </c>
    </row>
    <row r="19" spans="1:13" ht="18.5" x14ac:dyDescent="0.45">
      <c r="F19" s="113"/>
      <c r="G19" s="113"/>
      <c r="H19" s="113"/>
      <c r="I19" s="113"/>
      <c r="J19" s="113"/>
      <c r="K19" s="113"/>
      <c r="L19" s="113"/>
      <c r="M19" s="113"/>
    </row>
    <row r="20" spans="1:13" s="120" customFormat="1" ht="18.5" x14ac:dyDescent="0.45">
      <c r="A20" s="123" t="s">
        <v>170</v>
      </c>
      <c r="B20" s="121">
        <f>B15-B17</f>
        <v>2316.4100000000008</v>
      </c>
      <c r="C20" s="121">
        <f t="shared" ref="C20:M20" si="6">C15-C17</f>
        <v>2447.29</v>
      </c>
      <c r="D20" s="121">
        <f t="shared" si="6"/>
        <v>2652.5899999999983</v>
      </c>
      <c r="E20" s="121">
        <f t="shared" si="6"/>
        <v>3037.8100000000086</v>
      </c>
      <c r="F20" s="122">
        <f t="shared" si="6"/>
        <v>3840.7802334691223</v>
      </c>
      <c r="G20" s="122">
        <f t="shared" si="6"/>
        <v>4868.6765671385574</v>
      </c>
      <c r="H20" s="122">
        <f t="shared" si="6"/>
        <v>6349.2622412236724</v>
      </c>
      <c r="I20" s="122">
        <f t="shared" si="6"/>
        <v>8096.0080711598221</v>
      </c>
      <c r="J20" s="122">
        <f t="shared" si="6"/>
        <v>10287.234960086576</v>
      </c>
      <c r="K20" s="122">
        <f t="shared" si="6"/>
        <v>12890.124895198107</v>
      </c>
      <c r="L20" s="122">
        <f t="shared" si="6"/>
        <v>15788.909411783059</v>
      </c>
      <c r="M20" s="122">
        <f t="shared" si="6"/>
        <v>19374.407791870846</v>
      </c>
    </row>
    <row r="24" spans="1:13" x14ac:dyDescent="0.35"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6" spans="1:13" x14ac:dyDescent="0.35">
      <c r="D26" s="19"/>
    </row>
    <row r="27" spans="1:13" x14ac:dyDescent="0.35"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</sheetData>
  <mergeCells count="1">
    <mergeCell ref="F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111A-8019-450B-93F0-BE25D0C29086}">
  <dimension ref="A1:M22"/>
  <sheetViews>
    <sheetView topLeftCell="A6" workbookViewId="0">
      <selection activeCell="E26" sqref="E26"/>
    </sheetView>
  </sheetViews>
  <sheetFormatPr defaultRowHeight="14.5" x14ac:dyDescent="0.35"/>
  <cols>
    <col min="1" max="1" width="36.453125" bestFit="1" customWidth="1"/>
    <col min="2" max="5" width="12.6328125" bestFit="1" customWidth="1"/>
    <col min="6" max="6" width="14.1796875" customWidth="1"/>
    <col min="7" max="7" width="13.36328125" customWidth="1"/>
    <col min="8" max="8" width="14" customWidth="1"/>
    <col min="9" max="9" width="13.90625" customWidth="1"/>
    <col min="10" max="10" width="12.81640625" customWidth="1"/>
    <col min="11" max="11" width="13.1796875" customWidth="1"/>
    <col min="12" max="12" width="14.453125" customWidth="1"/>
    <col min="13" max="13" width="13.7265625" customWidth="1"/>
  </cols>
  <sheetData>
    <row r="1" spans="1:13" ht="18.5" x14ac:dyDescent="0.45">
      <c r="A1" s="199" t="s">
        <v>16</v>
      </c>
      <c r="B1" s="199"/>
      <c r="C1" s="199"/>
    </row>
    <row r="3" spans="1:13" ht="16" x14ac:dyDescent="0.4">
      <c r="F3" s="211" t="s">
        <v>139</v>
      </c>
      <c r="G3" s="211"/>
      <c r="H3" s="211"/>
      <c r="I3" s="211"/>
      <c r="J3" s="211"/>
      <c r="K3" s="211"/>
      <c r="L3" s="211"/>
      <c r="M3" s="211"/>
    </row>
    <row r="4" spans="1:13" ht="18.5" x14ac:dyDescent="0.45">
      <c r="A4" s="103" t="s">
        <v>140</v>
      </c>
      <c r="B4" s="104" t="s">
        <v>30</v>
      </c>
      <c r="C4" s="104" t="s">
        <v>31</v>
      </c>
      <c r="D4" s="104" t="s">
        <v>63</v>
      </c>
      <c r="E4" s="104" t="s">
        <v>64</v>
      </c>
      <c r="F4" s="154" t="s">
        <v>141</v>
      </c>
      <c r="G4" s="155" t="s">
        <v>142</v>
      </c>
      <c r="H4" s="155" t="s">
        <v>143</v>
      </c>
      <c r="I4" s="155" t="s">
        <v>204</v>
      </c>
      <c r="J4" s="155" t="s">
        <v>144</v>
      </c>
      <c r="K4" s="155" t="s">
        <v>145</v>
      </c>
      <c r="L4" s="155" t="s">
        <v>203</v>
      </c>
      <c r="M4" s="156" t="s">
        <v>205</v>
      </c>
    </row>
    <row r="5" spans="1:13" s="18" customFormat="1" ht="18.5" x14ac:dyDescent="0.45">
      <c r="A5" s="18" t="s">
        <v>161</v>
      </c>
      <c r="B5" s="18">
        <v>12059.650000000001</v>
      </c>
      <c r="C5" s="18">
        <v>14233.51</v>
      </c>
      <c r="D5" s="18">
        <v>17190.91</v>
      </c>
      <c r="E5" s="18">
        <v>21268.32</v>
      </c>
      <c r="F5" s="108">
        <f>'BS assumptions'!F16</f>
        <v>28052.914079999999</v>
      </c>
      <c r="G5" s="108">
        <f>'BS assumptions'!G16</f>
        <v>37001.793671519998</v>
      </c>
      <c r="H5" s="108">
        <f>'BS assumptions'!H16</f>
        <v>48805.365852734874</v>
      </c>
      <c r="I5" s="108">
        <f>'BS assumptions'!I16</f>
        <v>64374.277559757298</v>
      </c>
      <c r="J5" s="108">
        <f>'BS assumptions'!J16</f>
        <v>84909.672101319869</v>
      </c>
      <c r="K5" s="108">
        <f>'BS assumptions'!K16</f>
        <v>111995.8575016409</v>
      </c>
      <c r="L5" s="108">
        <f>'BS assumptions'!L16</f>
        <v>147722.53604466433</v>
      </c>
      <c r="M5" s="108">
        <f>'BS assumptions'!M16</f>
        <v>194846.02504291225</v>
      </c>
    </row>
    <row r="6" spans="1:13" ht="18.5" x14ac:dyDescent="0.45">
      <c r="A6" s="18" t="s">
        <v>171</v>
      </c>
      <c r="B6" s="105">
        <f>'P&amp;L forcast'!B14</f>
        <v>638.87</v>
      </c>
      <c r="C6" s="105">
        <f>'P&amp;L forcast'!C14</f>
        <v>730.76</v>
      </c>
      <c r="D6" s="105">
        <f>'P&amp;L forcast'!D14</f>
        <v>869.52</v>
      </c>
      <c r="E6" s="105">
        <f>'P&amp;L forcast'!E14</f>
        <v>1037.02</v>
      </c>
      <c r="F6" s="108">
        <f>'P&amp;L forcast'!F14</f>
        <v>1290.4340476799998</v>
      </c>
      <c r="G6" s="108">
        <f>'P&amp;L forcast'!G14</f>
        <v>1628.0789215468799</v>
      </c>
      <c r="H6" s="108">
        <f>'P&amp;L forcast'!H14</f>
        <v>2147.4360975203344</v>
      </c>
      <c r="I6" s="108">
        <f>'P&amp;L forcast'!I14</f>
        <v>2639.3453799500494</v>
      </c>
      <c r="J6" s="108">
        <f>'P&amp;L forcast'!J14</f>
        <v>3481.2965561541146</v>
      </c>
      <c r="K6" s="108">
        <f>'P&amp;L forcast'!K14</f>
        <v>4591.8301575672767</v>
      </c>
      <c r="L6" s="108">
        <f>'P&amp;L forcast'!L14</f>
        <v>5908.9014417865737</v>
      </c>
      <c r="M6" s="108">
        <f>'P&amp;L forcast'!M14</f>
        <v>7793.8410017164906</v>
      </c>
    </row>
    <row r="7" spans="1:13" ht="18.5" x14ac:dyDescent="0.45">
      <c r="A7" s="18" t="s">
        <v>89</v>
      </c>
      <c r="B7" s="18">
        <v>2211.4899999999998</v>
      </c>
      <c r="C7" s="18">
        <v>2731.04</v>
      </c>
      <c r="D7" s="18">
        <v>3423.04</v>
      </c>
      <c r="E7" s="18">
        <v>4113.3500000000004</v>
      </c>
      <c r="F7" s="108">
        <f>E7*118%</f>
        <v>4853.7530000000006</v>
      </c>
      <c r="G7" s="108">
        <f>F7*118%</f>
        <v>5727.4285400000008</v>
      </c>
      <c r="H7" s="108">
        <f>G7*118%</f>
        <v>6758.3656772000004</v>
      </c>
      <c r="I7" s="108">
        <f>H7*118%</f>
        <v>7974.8714990959998</v>
      </c>
      <c r="J7" s="108">
        <f t="shared" ref="J7" si="0">I7*118%</f>
        <v>9410.3483689332788</v>
      </c>
      <c r="K7" s="108">
        <f>J7*116%</f>
        <v>10916.004107962603</v>
      </c>
      <c r="L7" s="108">
        <f t="shared" ref="L7:M7" si="1">K7*116%</f>
        <v>12662.564765236619</v>
      </c>
      <c r="M7" s="108">
        <f t="shared" si="1"/>
        <v>14688.575127674476</v>
      </c>
    </row>
    <row r="8" spans="1:13" s="124" customFormat="1" ht="18.5" x14ac:dyDescent="0.45">
      <c r="A8" s="110" t="s">
        <v>172</v>
      </c>
      <c r="B8" s="125">
        <f>B5+B7-B6</f>
        <v>13632.27</v>
      </c>
      <c r="C8" s="125">
        <f t="shared" ref="C8:E8" si="2">C5+C7-C6</f>
        <v>16233.789999999999</v>
      </c>
      <c r="D8" s="125">
        <f t="shared" si="2"/>
        <v>19744.43</v>
      </c>
      <c r="E8" s="125">
        <f t="shared" si="2"/>
        <v>24344.649999999998</v>
      </c>
      <c r="F8" s="149">
        <f t="shared" ref="F8" si="3">F5+F7-F6</f>
        <v>31616.23303232</v>
      </c>
      <c r="G8" s="149">
        <f t="shared" ref="G8" si="4">G5+G7-G6</f>
        <v>41101.143289973115</v>
      </c>
      <c r="H8" s="149">
        <f t="shared" ref="H8" si="5">H5+H7-H6</f>
        <v>53416.295432414539</v>
      </c>
      <c r="I8" s="149">
        <f t="shared" ref="I8" si="6">I5+I7-I6</f>
        <v>69709.803678903263</v>
      </c>
      <c r="J8" s="149">
        <f t="shared" ref="J8:M8" si="7">J5+J7-J6</f>
        <v>90838.723914099028</v>
      </c>
      <c r="K8" s="149">
        <f t="shared" si="7"/>
        <v>118320.03145203623</v>
      </c>
      <c r="L8" s="149">
        <f t="shared" si="7"/>
        <v>154476.19936811438</v>
      </c>
      <c r="M8" s="149">
        <f t="shared" si="7"/>
        <v>201740.75916887022</v>
      </c>
    </row>
    <row r="9" spans="1:13" x14ac:dyDescent="0.35">
      <c r="F9" s="79"/>
      <c r="G9" s="79"/>
      <c r="H9" s="79"/>
      <c r="I9" s="79"/>
      <c r="J9" s="79"/>
      <c r="K9" s="79"/>
      <c r="L9" s="79"/>
      <c r="M9" s="79"/>
    </row>
    <row r="10" spans="1:13" ht="18.5" x14ac:dyDescent="0.45">
      <c r="A10" s="18" t="s">
        <v>173</v>
      </c>
      <c r="B10" s="18">
        <v>62.16</v>
      </c>
      <c r="C10" s="18">
        <v>166.37</v>
      </c>
      <c r="D10" s="18">
        <v>153.79</v>
      </c>
      <c r="E10" s="18">
        <v>149.34</v>
      </c>
      <c r="F10" s="108">
        <f>'BS assumptions'!F5</f>
        <v>146.793695670137</v>
      </c>
      <c r="G10" s="108">
        <f>'BS assumptions'!G5</f>
        <v>165.19768139594518</v>
      </c>
      <c r="H10" s="108">
        <f>'BS assumptions'!H5</f>
        <v>176.58361389831182</v>
      </c>
      <c r="I10" s="108">
        <f>'BS assumptions'!I5</f>
        <v>203.9540740525502</v>
      </c>
      <c r="J10" s="108">
        <f>'BS assumptions'!J5</f>
        <v>227.71472367967232</v>
      </c>
      <c r="K10" s="108">
        <f>'BS assumptions'!K5</f>
        <v>263.0105058500215</v>
      </c>
      <c r="L10" s="108">
        <f>'BS assumptions'!L5</f>
        <v>303.77713425677484</v>
      </c>
      <c r="M10" s="108">
        <f>'BS assumptions'!M5</f>
        <v>362.96130006887068</v>
      </c>
    </row>
    <row r="11" spans="1:13" ht="18.5" x14ac:dyDescent="0.45">
      <c r="A11" s="18" t="s">
        <v>174</v>
      </c>
      <c r="B11" s="18">
        <v>753.79</v>
      </c>
      <c r="C11" s="18">
        <v>984.81000000000006</v>
      </c>
      <c r="D11" s="18">
        <v>1070.81</v>
      </c>
      <c r="E11" s="18">
        <v>1338.23</v>
      </c>
      <c r="F11" s="108">
        <f>'BS assumptions'!F8</f>
        <v>1477.8465469021446</v>
      </c>
      <c r="G11" s="108">
        <f>'BS assumptions'!G8</f>
        <v>1699.5235289374659</v>
      </c>
      <c r="H11" s="108">
        <f>'BS assumptions'!H8</f>
        <v>1937.4568229887116</v>
      </c>
      <c r="I11" s="108">
        <f>'BS assumptions'!I8</f>
        <v>2208.7007782071314</v>
      </c>
      <c r="J11" s="108">
        <f>'BS assumptions'!J8</f>
        <v>2513.5014855997151</v>
      </c>
      <c r="K11" s="108">
        <f>'BS assumptions'!K8</f>
        <v>2860.3646906124754</v>
      </c>
      <c r="L11" s="108">
        <f>'BS assumptions'!L8</f>
        <v>3255.0950179169968</v>
      </c>
      <c r="M11" s="108">
        <f>'BS assumptions'!M8</f>
        <v>3704.2981303895417</v>
      </c>
    </row>
    <row r="12" spans="1:13" ht="18.5" x14ac:dyDescent="0.45">
      <c r="A12" s="18" t="s">
        <v>158</v>
      </c>
      <c r="B12" s="18">
        <v>3243.48</v>
      </c>
      <c r="C12" s="18">
        <v>3927.31</v>
      </c>
      <c r="D12" s="18">
        <v>5044.37</v>
      </c>
      <c r="E12" s="18">
        <v>5900.64</v>
      </c>
      <c r="F12" s="108">
        <f>'BS assumptions'!F11</f>
        <v>6807.5955175890394</v>
      </c>
      <c r="G12" s="108">
        <f>'BS assumptions'!G11</f>
        <v>7190.5227654534228</v>
      </c>
      <c r="H12" s="108">
        <f>'BS assumptions'!H11</f>
        <v>7954.6753623027926</v>
      </c>
      <c r="I12" s="108">
        <f>'BS assumptions'!I11</f>
        <v>9068.3299130251853</v>
      </c>
      <c r="J12" s="108">
        <f>'BS assumptions'!J11</f>
        <v>10319.759441022659</v>
      </c>
      <c r="K12" s="108">
        <f>'BS assumptions'!K11</f>
        <v>11743.886243883782</v>
      </c>
      <c r="L12" s="108">
        <f>'BS assumptions'!L11</f>
        <v>13364.542545539745</v>
      </c>
      <c r="M12" s="108">
        <f>'BS assumptions'!M11</f>
        <v>15208.849416824229</v>
      </c>
    </row>
    <row r="13" spans="1:13" s="128" customFormat="1" ht="18.5" x14ac:dyDescent="0.45">
      <c r="A13" s="126" t="s">
        <v>175</v>
      </c>
      <c r="B13" s="127">
        <f>B10+B12-B11</f>
        <v>2551.85</v>
      </c>
      <c r="C13" s="127">
        <f t="shared" ref="C13:M13" si="8">C10+C12-C11</f>
        <v>3108.87</v>
      </c>
      <c r="D13" s="127">
        <f t="shared" si="8"/>
        <v>4127.3500000000004</v>
      </c>
      <c r="E13" s="127">
        <f t="shared" si="8"/>
        <v>4711.75</v>
      </c>
      <c r="F13" s="150">
        <f t="shared" si="8"/>
        <v>5476.5426663570315</v>
      </c>
      <c r="G13" s="150">
        <f t="shared" si="8"/>
        <v>5656.1969179119023</v>
      </c>
      <c r="H13" s="150">
        <f t="shared" si="8"/>
        <v>6193.802153212393</v>
      </c>
      <c r="I13" s="150">
        <f t="shared" si="8"/>
        <v>7063.5832088706038</v>
      </c>
      <c r="J13" s="150">
        <f t="shared" si="8"/>
        <v>8033.972679102616</v>
      </c>
      <c r="K13" s="150">
        <f t="shared" si="8"/>
        <v>9146.5320591213276</v>
      </c>
      <c r="L13" s="150">
        <f t="shared" si="8"/>
        <v>10413.224661879525</v>
      </c>
      <c r="M13" s="150">
        <f t="shared" si="8"/>
        <v>11867.512586503559</v>
      </c>
    </row>
    <row r="14" spans="1:13" s="124" customFormat="1" ht="18.5" x14ac:dyDescent="0.45">
      <c r="A14" s="126" t="s">
        <v>176</v>
      </c>
      <c r="B14" s="134">
        <v>331.5</v>
      </c>
      <c r="C14" s="127">
        <f>C13-B13</f>
        <v>557.02</v>
      </c>
      <c r="D14" s="127">
        <f t="shared" ref="D14:J14" si="9">D13-C13</f>
        <v>1018.4800000000005</v>
      </c>
      <c r="E14" s="127">
        <f t="shared" si="9"/>
        <v>584.39999999999964</v>
      </c>
      <c r="F14" s="150">
        <f t="shared" si="9"/>
        <v>764.79266635703152</v>
      </c>
      <c r="G14" s="150">
        <f t="shared" si="9"/>
        <v>179.65425155487083</v>
      </c>
      <c r="H14" s="150">
        <f t="shared" si="9"/>
        <v>537.60523530049068</v>
      </c>
      <c r="I14" s="150">
        <f t="shared" si="9"/>
        <v>869.78105565821079</v>
      </c>
      <c r="J14" s="150">
        <f t="shared" si="9"/>
        <v>970.38947023201217</v>
      </c>
      <c r="K14" s="150">
        <f t="shared" ref="K14" si="10">K13-J13</f>
        <v>1112.5593800187116</v>
      </c>
      <c r="L14" s="150">
        <f t="shared" ref="L14" si="11">L13-K13</f>
        <v>1266.6926027581976</v>
      </c>
      <c r="M14" s="150">
        <f t="shared" ref="M14" si="12">M13-L13</f>
        <v>1454.2879246240336</v>
      </c>
    </row>
    <row r="16" spans="1:13" x14ac:dyDescent="0.35"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2:13" x14ac:dyDescent="0.3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2:13" x14ac:dyDescent="0.35">
      <c r="D18" s="8"/>
      <c r="E18" s="40"/>
      <c r="F18" s="19"/>
    </row>
    <row r="19" spans="2:13" x14ac:dyDescent="0.35">
      <c r="E19" s="19"/>
    </row>
    <row r="20" spans="2:13" x14ac:dyDescent="0.3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2:13" x14ac:dyDescent="0.3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2:13" x14ac:dyDescent="0.3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</sheetData>
  <mergeCells count="2">
    <mergeCell ref="A1:C1"/>
    <mergeCell ref="F3:M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59DB-8519-4EF4-B485-D38425FCF0FE}">
  <dimension ref="A2:M19"/>
  <sheetViews>
    <sheetView zoomScale="80" zoomScaleNormal="80" workbookViewId="0">
      <selection activeCell="C17" sqref="C17"/>
    </sheetView>
  </sheetViews>
  <sheetFormatPr defaultRowHeight="14.5" x14ac:dyDescent="0.35"/>
  <cols>
    <col min="1" max="1" width="32.08984375" bestFit="1" customWidth="1"/>
    <col min="2" max="2" width="32" customWidth="1"/>
    <col min="3" max="3" width="14.36328125" bestFit="1" customWidth="1"/>
    <col min="4" max="4" width="11.36328125" customWidth="1"/>
    <col min="5" max="5" width="11.453125" customWidth="1"/>
    <col min="6" max="6" width="12.26953125" customWidth="1"/>
    <col min="7" max="7" width="12.1796875" customWidth="1"/>
    <col min="8" max="8" width="12.7265625" customWidth="1"/>
    <col min="9" max="9" width="12.453125" customWidth="1"/>
    <col min="10" max="10" width="11.54296875" customWidth="1"/>
    <col min="11" max="11" width="10.81640625" customWidth="1"/>
    <col min="12" max="12" width="11.26953125" customWidth="1"/>
    <col min="13" max="13" width="10.54296875" customWidth="1"/>
  </cols>
  <sheetData>
    <row r="2" spans="1:13" ht="18.5" x14ac:dyDescent="0.45">
      <c r="B2" s="18" t="s">
        <v>209</v>
      </c>
      <c r="C2" s="105">
        <f>M12*(1+4.5%)/(12.45%-4.5%)</f>
        <v>144924.88175656382</v>
      </c>
    </row>
    <row r="3" spans="1:13" ht="18.5" x14ac:dyDescent="0.45">
      <c r="B3" s="18" t="s">
        <v>210</v>
      </c>
      <c r="C3" s="105">
        <f>C2/((1+WACC!B21)^8)</f>
        <v>56682.913218863738</v>
      </c>
    </row>
    <row r="5" spans="1:13" x14ac:dyDescent="0.35">
      <c r="F5" s="209" t="s">
        <v>202</v>
      </c>
      <c r="G5" s="209"/>
      <c r="H5" s="209"/>
      <c r="I5" s="209"/>
      <c r="J5" s="209"/>
      <c r="K5" s="209"/>
      <c r="L5" s="209"/>
      <c r="M5" s="209"/>
    </row>
    <row r="6" spans="1:13" ht="18.5" x14ac:dyDescent="0.45">
      <c r="A6" s="103" t="s">
        <v>164</v>
      </c>
      <c r="B6" s="103" t="s">
        <v>30</v>
      </c>
      <c r="C6" s="103" t="s">
        <v>31</v>
      </c>
      <c r="D6" s="103" t="s">
        <v>63</v>
      </c>
      <c r="E6" s="103" t="s">
        <v>64</v>
      </c>
      <c r="F6" s="168" t="s">
        <v>141</v>
      </c>
      <c r="G6" s="169" t="s">
        <v>142</v>
      </c>
      <c r="H6" s="169" t="s">
        <v>143</v>
      </c>
      <c r="I6" s="169" t="s">
        <v>204</v>
      </c>
      <c r="J6" s="169" t="s">
        <v>144</v>
      </c>
      <c r="K6" s="169" t="s">
        <v>145</v>
      </c>
      <c r="L6" s="169" t="s">
        <v>203</v>
      </c>
      <c r="M6" s="170" t="s">
        <v>205</v>
      </c>
    </row>
    <row r="7" spans="1:13" ht="17" x14ac:dyDescent="0.4">
      <c r="A7" s="129" t="s">
        <v>177</v>
      </c>
      <c r="B7" s="129">
        <v>2316.4100000000008</v>
      </c>
      <c r="C7" s="129">
        <v>2447.29</v>
      </c>
      <c r="D7" s="129">
        <v>2652.5899999999983</v>
      </c>
      <c r="E7" s="129">
        <v>3037.8100000000086</v>
      </c>
      <c r="F7" s="171">
        <f>'P&amp;L forcast'!F20</f>
        <v>3840.7802334691223</v>
      </c>
      <c r="G7" s="172">
        <f>'P&amp;L forcast'!G20</f>
        <v>4868.6765671385574</v>
      </c>
      <c r="H7" s="172">
        <f>'P&amp;L forcast'!H20</f>
        <v>6349.2622412236724</v>
      </c>
      <c r="I7" s="172">
        <f>'P&amp;L forcast'!I20</f>
        <v>8096.0080711598221</v>
      </c>
      <c r="J7" s="172">
        <f>'P&amp;L forcast'!J20</f>
        <v>10287.234960086576</v>
      </c>
      <c r="K7" s="172">
        <f>'P&amp;L forcast'!K20</f>
        <v>12890.124895198107</v>
      </c>
      <c r="L7" s="172">
        <f>'P&amp;L forcast'!L20</f>
        <v>15788.909411783059</v>
      </c>
      <c r="M7" s="173">
        <f>'P&amp;L forcast'!M20</f>
        <v>19374.407791870846</v>
      </c>
    </row>
    <row r="8" spans="1:13" ht="17" x14ac:dyDescent="0.4">
      <c r="A8" s="129" t="s">
        <v>178</v>
      </c>
      <c r="B8" s="130">
        <f>'P&amp;L forcast'!B14</f>
        <v>638.87</v>
      </c>
      <c r="C8" s="130">
        <f>'P&amp;L forcast'!C14</f>
        <v>730.76</v>
      </c>
      <c r="D8" s="130">
        <f>'P&amp;L forcast'!D14</f>
        <v>869.52</v>
      </c>
      <c r="E8" s="130">
        <f>'P&amp;L forcast'!E14</f>
        <v>1037.02</v>
      </c>
      <c r="F8" s="174">
        <f>'P&amp;L forcast'!F14</f>
        <v>1290.4340476799998</v>
      </c>
      <c r="G8" s="175">
        <f>'P&amp;L forcast'!G14</f>
        <v>1628.0789215468799</v>
      </c>
      <c r="H8" s="175">
        <f>'P&amp;L forcast'!H14</f>
        <v>2147.4360975203344</v>
      </c>
      <c r="I8" s="175">
        <f>'P&amp;L forcast'!I14</f>
        <v>2639.3453799500494</v>
      </c>
      <c r="J8" s="175">
        <f>'P&amp;L forcast'!J14</f>
        <v>3481.2965561541146</v>
      </c>
      <c r="K8" s="175">
        <f>'P&amp;L forcast'!K14</f>
        <v>4591.8301575672767</v>
      </c>
      <c r="L8" s="175">
        <f>'P&amp;L forcast'!L14</f>
        <v>5908.9014417865737</v>
      </c>
      <c r="M8" s="176">
        <f>'P&amp;L forcast'!M14</f>
        <v>7793.8410017164906</v>
      </c>
    </row>
    <row r="9" spans="1:13" s="133" customFormat="1" ht="17" x14ac:dyDescent="0.4">
      <c r="A9" s="131" t="s">
        <v>179</v>
      </c>
      <c r="B9" s="132">
        <f>B7+B8</f>
        <v>2955.2800000000007</v>
      </c>
      <c r="C9" s="132">
        <f t="shared" ref="C9:M9" si="0">C7+C8</f>
        <v>3178.05</v>
      </c>
      <c r="D9" s="132">
        <f t="shared" si="0"/>
        <v>3522.1099999999983</v>
      </c>
      <c r="E9" s="132">
        <f t="shared" si="0"/>
        <v>4074.8300000000086</v>
      </c>
      <c r="F9" s="163">
        <f t="shared" si="0"/>
        <v>5131.2142811491221</v>
      </c>
      <c r="G9" s="132">
        <f t="shared" si="0"/>
        <v>6496.7554886854377</v>
      </c>
      <c r="H9" s="132">
        <f t="shared" si="0"/>
        <v>8496.6983387440068</v>
      </c>
      <c r="I9" s="132">
        <f t="shared" si="0"/>
        <v>10735.353451109871</v>
      </c>
      <c r="J9" s="132">
        <f t="shared" si="0"/>
        <v>13768.531516240691</v>
      </c>
      <c r="K9" s="132">
        <f t="shared" si="0"/>
        <v>17481.955052765385</v>
      </c>
      <c r="L9" s="132">
        <f t="shared" si="0"/>
        <v>21697.810853569634</v>
      </c>
      <c r="M9" s="164">
        <f t="shared" si="0"/>
        <v>27168.248793587336</v>
      </c>
    </row>
    <row r="10" spans="1:13" ht="17" x14ac:dyDescent="0.4">
      <c r="A10" s="129" t="s">
        <v>180</v>
      </c>
      <c r="B10" s="130">
        <f>'BS Forcast'!B7</f>
        <v>2211.4899999999998</v>
      </c>
      <c r="C10" s="130">
        <f>'BS Forcast'!C7</f>
        <v>2731.04</v>
      </c>
      <c r="D10" s="130">
        <f>'BS Forcast'!D7</f>
        <v>3423.04</v>
      </c>
      <c r="E10" s="130">
        <f>'BS Forcast'!E7</f>
        <v>4113.3500000000004</v>
      </c>
      <c r="F10" s="174">
        <f>'BS Forcast'!F7</f>
        <v>4853.7530000000006</v>
      </c>
      <c r="G10" s="175">
        <f>'BS Forcast'!G7</f>
        <v>5727.4285400000008</v>
      </c>
      <c r="H10" s="175">
        <f>'BS Forcast'!H7</f>
        <v>6758.3656772000004</v>
      </c>
      <c r="I10" s="175">
        <f>'BS Forcast'!I7</f>
        <v>7974.8714990959998</v>
      </c>
      <c r="J10" s="175">
        <f>'BS Forcast'!J7</f>
        <v>9410.3483689332788</v>
      </c>
      <c r="K10" s="175">
        <f>'BS Forcast'!K7</f>
        <v>10916.004107962603</v>
      </c>
      <c r="L10" s="175">
        <f>'BS Forcast'!L7</f>
        <v>12662.564765236619</v>
      </c>
      <c r="M10" s="176">
        <f>'BS Forcast'!M7</f>
        <v>14688.575127674476</v>
      </c>
    </row>
    <row r="11" spans="1:13" ht="17" x14ac:dyDescent="0.4">
      <c r="A11" s="129" t="s">
        <v>181</v>
      </c>
      <c r="B11" s="130">
        <f>'BS Forcast'!B14</f>
        <v>331.5</v>
      </c>
      <c r="C11" s="130">
        <f>'BS Forcast'!C14</f>
        <v>557.02</v>
      </c>
      <c r="D11" s="130">
        <f>'BS Forcast'!D14</f>
        <v>1018.4800000000005</v>
      </c>
      <c r="E11" s="130">
        <f>'BS Forcast'!E14</f>
        <v>584.39999999999964</v>
      </c>
      <c r="F11" s="174">
        <f>'BS Forcast'!F14</f>
        <v>764.79266635703152</v>
      </c>
      <c r="G11" s="175">
        <f>'BS Forcast'!G14</f>
        <v>179.65425155487083</v>
      </c>
      <c r="H11" s="175">
        <f>'BS Forcast'!H14</f>
        <v>537.60523530049068</v>
      </c>
      <c r="I11" s="175">
        <f>'BS Forcast'!I14</f>
        <v>869.78105565821079</v>
      </c>
      <c r="J11" s="175">
        <f>'BS Forcast'!J14</f>
        <v>970.38947023201217</v>
      </c>
      <c r="K11" s="175">
        <f>'BS Forcast'!K14</f>
        <v>1112.5593800187116</v>
      </c>
      <c r="L11" s="175">
        <f>'BS Forcast'!L14</f>
        <v>1266.6926027581976</v>
      </c>
      <c r="M11" s="176">
        <f>'BS Forcast'!M14</f>
        <v>1454.2879246240336</v>
      </c>
    </row>
    <row r="12" spans="1:13" s="136" customFormat="1" ht="17" x14ac:dyDescent="0.4">
      <c r="A12" s="135" t="s">
        <v>201</v>
      </c>
      <c r="B12" s="137">
        <f>B9-B10-B11</f>
        <v>412.29000000000087</v>
      </c>
      <c r="C12" s="137">
        <f t="shared" ref="C12:M12" si="1">C9-C10-C11</f>
        <v>-110.00999999999976</v>
      </c>
      <c r="D12" s="137">
        <f t="shared" si="1"/>
        <v>-919.41000000000213</v>
      </c>
      <c r="E12" s="137">
        <f t="shared" si="1"/>
        <v>-622.91999999999143</v>
      </c>
      <c r="F12" s="165">
        <f t="shared" si="1"/>
        <v>-487.33138520790999</v>
      </c>
      <c r="G12" s="166">
        <f t="shared" si="1"/>
        <v>589.67269713056612</v>
      </c>
      <c r="H12" s="166">
        <f t="shared" si="1"/>
        <v>1200.7274262435158</v>
      </c>
      <c r="I12" s="166">
        <f t="shared" si="1"/>
        <v>1890.7008963556609</v>
      </c>
      <c r="J12" s="166">
        <f t="shared" si="1"/>
        <v>3387.7936770754004</v>
      </c>
      <c r="K12" s="166">
        <f t="shared" si="1"/>
        <v>5453.3915647840704</v>
      </c>
      <c r="L12" s="166">
        <f t="shared" si="1"/>
        <v>7768.5534855748174</v>
      </c>
      <c r="M12" s="167">
        <f t="shared" si="1"/>
        <v>11025.385741288826</v>
      </c>
    </row>
    <row r="13" spans="1:13" ht="17" x14ac:dyDescent="0.4">
      <c r="A13" s="129"/>
      <c r="B13" s="129"/>
      <c r="C13" s="130"/>
      <c r="D13" s="130"/>
      <c r="E13" s="130"/>
      <c r="F13" s="129"/>
      <c r="G13" s="129"/>
      <c r="H13" s="129"/>
      <c r="I13" s="129"/>
      <c r="J13" s="129"/>
    </row>
    <row r="14" spans="1:13" ht="17" x14ac:dyDescent="0.4">
      <c r="A14" s="129"/>
      <c r="B14" s="129"/>
      <c r="C14" s="129"/>
      <c r="D14" s="129"/>
      <c r="E14" s="129"/>
      <c r="F14" s="139"/>
      <c r="G14" s="139"/>
      <c r="H14" s="139"/>
      <c r="I14" s="139"/>
      <c r="J14" s="139"/>
      <c r="K14" s="139"/>
      <c r="L14" s="139"/>
      <c r="M14" s="139"/>
    </row>
    <row r="15" spans="1:13" ht="17" x14ac:dyDescent="0.4">
      <c r="A15" s="129"/>
      <c r="B15" s="129"/>
      <c r="C15" s="129"/>
      <c r="D15" s="129"/>
      <c r="E15" s="129"/>
      <c r="F15" s="129"/>
      <c r="G15" s="129"/>
      <c r="H15" s="129"/>
      <c r="I15" s="129"/>
      <c r="J15" s="129"/>
    </row>
    <row r="16" spans="1:13" ht="17" x14ac:dyDescent="0.4">
      <c r="A16" s="129"/>
      <c r="B16" s="129"/>
      <c r="C16" s="129"/>
      <c r="D16" s="129"/>
      <c r="E16" s="129"/>
      <c r="F16" s="129"/>
      <c r="G16" s="129"/>
      <c r="H16" s="129"/>
      <c r="I16" s="129"/>
      <c r="J16" s="129"/>
    </row>
    <row r="17" spans="1:10" ht="17" x14ac:dyDescent="0.4">
      <c r="A17" s="129"/>
      <c r="B17" s="129"/>
      <c r="C17" s="129"/>
      <c r="D17" s="129"/>
      <c r="E17" s="129"/>
      <c r="F17" s="129"/>
      <c r="G17" s="129"/>
      <c r="H17" s="129"/>
      <c r="I17" s="129"/>
      <c r="J17" s="129"/>
    </row>
    <row r="18" spans="1:10" ht="17" x14ac:dyDescent="0.4">
      <c r="A18" s="129"/>
      <c r="B18" s="129"/>
      <c r="C18" s="129"/>
      <c r="D18" s="129"/>
      <c r="E18" s="129"/>
      <c r="F18" s="129"/>
      <c r="G18" s="129"/>
      <c r="H18" s="129"/>
      <c r="I18" s="129"/>
      <c r="J18" s="129"/>
    </row>
    <row r="19" spans="1:10" ht="17" x14ac:dyDescent="0.4">
      <c r="A19" s="129"/>
      <c r="B19" s="129"/>
      <c r="C19" s="129"/>
      <c r="D19" s="129"/>
      <c r="E19" s="129"/>
      <c r="F19" s="129"/>
      <c r="G19" s="129"/>
      <c r="H19" s="129"/>
      <c r="I19" s="129"/>
      <c r="J19" s="129"/>
    </row>
  </sheetData>
  <mergeCells count="1">
    <mergeCell ref="F5:M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7B84-4624-45B2-833C-6C00B822B181}">
  <dimension ref="A3:E30"/>
  <sheetViews>
    <sheetView workbookViewId="0">
      <selection activeCell="B11" sqref="B11"/>
    </sheetView>
  </sheetViews>
  <sheetFormatPr defaultRowHeight="14.5" x14ac:dyDescent="0.35"/>
  <cols>
    <col min="1" max="1" width="34.26953125" customWidth="1"/>
    <col min="2" max="2" width="26.26953125" bestFit="1" customWidth="1"/>
  </cols>
  <sheetData>
    <row r="3" spans="1:5" ht="17" x14ac:dyDescent="0.4">
      <c r="A3" s="138" t="s">
        <v>184</v>
      </c>
      <c r="B3" s="129"/>
    </row>
    <row r="4" spans="1:5" ht="17" x14ac:dyDescent="0.4">
      <c r="A4" s="143" t="s">
        <v>182</v>
      </c>
      <c r="B4" s="144">
        <f>B23/SUM(B23,B24)</f>
        <v>0.99554123648362103</v>
      </c>
    </row>
    <row r="5" spans="1:5" ht="17" x14ac:dyDescent="0.4">
      <c r="A5" s="143" t="s">
        <v>183</v>
      </c>
      <c r="B5" s="144">
        <f>1-B4</f>
        <v>4.4587635163789718E-3</v>
      </c>
    </row>
    <row r="6" spans="1:5" ht="17" x14ac:dyDescent="0.4">
      <c r="A6" s="129"/>
      <c r="B6" s="129"/>
    </row>
    <row r="7" spans="1:5" ht="17" x14ac:dyDescent="0.4">
      <c r="A7" s="138" t="s">
        <v>185</v>
      </c>
      <c r="B7" s="129"/>
    </row>
    <row r="8" spans="1:5" ht="17" x14ac:dyDescent="0.4">
      <c r="A8" s="129" t="s">
        <v>186</v>
      </c>
      <c r="B8" s="139">
        <v>7.3999999999999996E-2</v>
      </c>
    </row>
    <row r="9" spans="1:5" ht="17" x14ac:dyDescent="0.4">
      <c r="A9" s="129" t="s">
        <v>187</v>
      </c>
      <c r="B9" s="129">
        <v>1.1299999999999999</v>
      </c>
    </row>
    <row r="10" spans="1:5" ht="17" x14ac:dyDescent="0.4">
      <c r="A10" s="129" t="s">
        <v>188</v>
      </c>
      <c r="B10" s="139">
        <v>4.4999999999999998E-2</v>
      </c>
      <c r="E10" s="19"/>
    </row>
    <row r="11" spans="1:5" ht="17" x14ac:dyDescent="0.4">
      <c r="A11" s="141" t="s">
        <v>189</v>
      </c>
      <c r="B11" s="142">
        <f>B8+B9*(B10)</f>
        <v>0.12484999999999999</v>
      </c>
    </row>
    <row r="12" spans="1:5" ht="17" x14ac:dyDescent="0.4">
      <c r="A12" s="129"/>
      <c r="B12" s="129"/>
    </row>
    <row r="13" spans="1:5" ht="17" x14ac:dyDescent="0.4">
      <c r="A13" s="129" t="s">
        <v>190</v>
      </c>
      <c r="B13" s="139">
        <v>6.5000000000000002E-2</v>
      </c>
    </row>
    <row r="14" spans="1:5" ht="17" x14ac:dyDescent="0.4">
      <c r="A14" s="129" t="s">
        <v>191</v>
      </c>
      <c r="B14" s="145">
        <v>0.27</v>
      </c>
    </row>
    <row r="15" spans="1:5" ht="17" x14ac:dyDescent="0.4">
      <c r="A15" s="141" t="s">
        <v>192</v>
      </c>
      <c r="B15" s="142">
        <f>B13*(1-B14)</f>
        <v>4.7449999999999999E-2</v>
      </c>
    </row>
    <row r="16" spans="1:5" ht="17" x14ac:dyDescent="0.4">
      <c r="A16" s="129"/>
      <c r="B16" s="129"/>
    </row>
    <row r="17" spans="1:2" ht="17.5" thickBot="1" x14ac:dyDescent="0.45">
      <c r="A17" s="129"/>
      <c r="B17" s="129"/>
    </row>
    <row r="18" spans="1:2" ht="17.5" thickBot="1" x14ac:dyDescent="0.45">
      <c r="A18" s="146" t="s">
        <v>193</v>
      </c>
      <c r="B18" s="147">
        <f>B4*B11</f>
        <v>0.12429332337498007</v>
      </c>
    </row>
    <row r="19" spans="1:2" ht="17.5" thickBot="1" x14ac:dyDescent="0.45">
      <c r="A19" s="148" t="s">
        <v>194</v>
      </c>
      <c r="B19" s="147">
        <f>B5*B15</f>
        <v>2.115683288521822E-4</v>
      </c>
    </row>
    <row r="20" spans="1:2" ht="17.5" thickBot="1" x14ac:dyDescent="0.45">
      <c r="A20" s="129"/>
      <c r="B20" s="129"/>
    </row>
    <row r="21" spans="1:2" ht="17.5" thickBot="1" x14ac:dyDescent="0.45">
      <c r="A21" s="141" t="s">
        <v>195</v>
      </c>
      <c r="B21" s="147">
        <f>B18+B19</f>
        <v>0.12450489170383225</v>
      </c>
    </row>
    <row r="22" spans="1:2" ht="17" x14ac:dyDescent="0.4">
      <c r="A22" s="129"/>
      <c r="B22" s="129"/>
    </row>
    <row r="23" spans="1:2" ht="17" x14ac:dyDescent="0.4">
      <c r="A23" s="129" t="s">
        <v>196</v>
      </c>
      <c r="B23" s="129">
        <v>215523</v>
      </c>
    </row>
    <row r="24" spans="1:2" ht="17" x14ac:dyDescent="0.4">
      <c r="A24" s="129" t="s">
        <v>197</v>
      </c>
      <c r="B24" s="129">
        <v>965.27</v>
      </c>
    </row>
    <row r="25" spans="1:2" ht="17" x14ac:dyDescent="0.4">
      <c r="A25" s="129"/>
      <c r="B25" s="129"/>
    </row>
    <row r="26" spans="1:2" ht="17" x14ac:dyDescent="0.4">
      <c r="A26" s="129"/>
      <c r="B26" s="129"/>
    </row>
    <row r="27" spans="1:2" ht="17" x14ac:dyDescent="0.4">
      <c r="A27" s="129"/>
      <c r="B27" s="129"/>
    </row>
    <row r="28" spans="1:2" ht="17" x14ac:dyDescent="0.4">
      <c r="A28" s="129"/>
      <c r="B28" s="129"/>
    </row>
    <row r="29" spans="1:2" ht="17" x14ac:dyDescent="0.4">
      <c r="A29" s="129"/>
      <c r="B29" s="129"/>
    </row>
    <row r="30" spans="1:2" ht="17" x14ac:dyDescent="0.4">
      <c r="A30" s="129"/>
      <c r="B30" s="12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2F86-8FB2-4BEB-8557-A348682C80D4}">
  <dimension ref="A1:M32"/>
  <sheetViews>
    <sheetView tabSelected="1" workbookViewId="0">
      <selection activeCell="B5" sqref="B5"/>
    </sheetView>
  </sheetViews>
  <sheetFormatPr defaultRowHeight="14.5" x14ac:dyDescent="0.35"/>
  <cols>
    <col min="1" max="1" width="28.7265625" bestFit="1" customWidth="1"/>
    <col min="2" max="2" width="16.453125" bestFit="1" customWidth="1"/>
    <col min="3" max="3" width="10.26953125" customWidth="1"/>
    <col min="4" max="4" width="10.36328125" customWidth="1"/>
    <col min="5" max="5" width="10.54296875" customWidth="1"/>
    <col min="6" max="7" width="10.6328125" customWidth="1"/>
    <col min="8" max="9" width="11.1796875" customWidth="1"/>
    <col min="10" max="10" width="10.453125" customWidth="1"/>
    <col min="11" max="11" width="10.36328125" customWidth="1"/>
    <col min="12" max="12" width="10.26953125" customWidth="1"/>
    <col min="13" max="13" width="11" customWidth="1"/>
  </cols>
  <sheetData>
    <row r="1" spans="1:13" ht="15.5" thickTop="1" thickBot="1" x14ac:dyDescent="0.4">
      <c r="A1" s="179" t="s">
        <v>198</v>
      </c>
    </row>
    <row r="2" spans="1:13" ht="15.5" thickTop="1" thickBot="1" x14ac:dyDescent="0.4"/>
    <row r="3" spans="1:13" ht="15.5" thickTop="1" thickBot="1" x14ac:dyDescent="0.4">
      <c r="A3" s="194" t="s">
        <v>199</v>
      </c>
      <c r="B3" s="195">
        <v>0.1245</v>
      </c>
    </row>
    <row r="4" spans="1:13" ht="15.5" thickTop="1" thickBot="1" x14ac:dyDescent="0.4">
      <c r="A4" s="194" t="s">
        <v>200</v>
      </c>
      <c r="B4" s="195">
        <v>4.4999999999999998E-2</v>
      </c>
    </row>
    <row r="5" spans="1:13" ht="15" thickTop="1" x14ac:dyDescent="0.35"/>
    <row r="7" spans="1:13" ht="17" x14ac:dyDescent="0.4">
      <c r="A7" s="181" t="s">
        <v>211</v>
      </c>
      <c r="B7" s="129" t="s">
        <v>30</v>
      </c>
      <c r="C7" s="129" t="s">
        <v>31</v>
      </c>
      <c r="D7" s="129" t="s">
        <v>63</v>
      </c>
      <c r="E7" s="157" t="s">
        <v>64</v>
      </c>
      <c r="F7" s="158" t="s">
        <v>141</v>
      </c>
      <c r="G7" s="159" t="s">
        <v>142</v>
      </c>
      <c r="H7" s="159" t="s">
        <v>143</v>
      </c>
      <c r="I7" s="159" t="s">
        <v>204</v>
      </c>
      <c r="J7" s="159" t="s">
        <v>144</v>
      </c>
      <c r="K7" s="159" t="s">
        <v>145</v>
      </c>
      <c r="L7" s="159" t="s">
        <v>203</v>
      </c>
      <c r="M7" s="160" t="s">
        <v>205</v>
      </c>
    </row>
    <row r="8" spans="1:13" ht="17" x14ac:dyDescent="0.4">
      <c r="A8" s="181" t="s">
        <v>212</v>
      </c>
      <c r="B8" s="130">
        <f>'Cash Flow forcast'!B12</f>
        <v>412.29000000000087</v>
      </c>
      <c r="C8" s="130">
        <f>'Cash Flow forcast'!C12</f>
        <v>-110.00999999999976</v>
      </c>
      <c r="D8" s="130">
        <f>'Cash Flow forcast'!D12</f>
        <v>-919.41000000000213</v>
      </c>
      <c r="E8" s="130">
        <f>'Cash Flow forcast'!E12</f>
        <v>-622.91999999999143</v>
      </c>
      <c r="F8" s="175">
        <f>'Cash Flow forcast'!F12</f>
        <v>-487.33138520790999</v>
      </c>
      <c r="G8" s="175">
        <f>'Cash Flow forcast'!G12</f>
        <v>589.67269713056612</v>
      </c>
      <c r="H8" s="175">
        <f>'Cash Flow forcast'!H12</f>
        <v>1200.7274262435158</v>
      </c>
      <c r="I8" s="175">
        <f>'Cash Flow forcast'!I12</f>
        <v>1890.7008963556609</v>
      </c>
      <c r="J8" s="175">
        <f>'Cash Flow forcast'!J12</f>
        <v>3387.7936770754004</v>
      </c>
      <c r="K8" s="175">
        <f>'Cash Flow forcast'!K12</f>
        <v>5453.3915647840704</v>
      </c>
      <c r="L8" s="175">
        <f>'Cash Flow forcast'!L12</f>
        <v>7768.5534855748174</v>
      </c>
      <c r="M8" s="175">
        <f>'Cash Flow forcast'!M12</f>
        <v>11025.385741288826</v>
      </c>
    </row>
    <row r="9" spans="1:13" ht="17" x14ac:dyDescent="0.4">
      <c r="A9" s="181" t="s">
        <v>213</v>
      </c>
      <c r="F9" s="180">
        <f>1/(1+$B$3)^1</f>
        <v>0.88928412627834585</v>
      </c>
      <c r="G9" s="180">
        <f>1/(1+$B$3)^2</f>
        <v>0.79082625725064093</v>
      </c>
      <c r="H9" s="180">
        <f>1/(1+$B$3)^3</f>
        <v>0.70326923721711065</v>
      </c>
      <c r="I9" s="180">
        <f>1/(1+$B$3)^4</f>
        <v>0.62540616915705705</v>
      </c>
      <c r="J9" s="180">
        <f>1/(1+$B$3)^5</f>
        <v>0.55616377870792078</v>
      </c>
      <c r="K9" s="180">
        <f>1/(1+$B$3)^6</f>
        <v>0.4945876200159367</v>
      </c>
      <c r="L9" s="180">
        <f>1/(1+$B$3)^7</f>
        <v>0.43982891953395875</v>
      </c>
      <c r="M9" s="180">
        <f>1/(1+$B$3)^8</f>
        <v>0.3911328764197054</v>
      </c>
    </row>
    <row r="10" spans="1:13" ht="17" x14ac:dyDescent="0.4">
      <c r="A10" s="181" t="s">
        <v>214</v>
      </c>
      <c r="B10" s="161"/>
      <c r="C10" s="161"/>
      <c r="D10" s="161"/>
      <c r="E10" s="161"/>
      <c r="F10" s="177">
        <f t="shared" ref="F10:M10" si="0">F8*F9</f>
        <v>-433.37606510263225</v>
      </c>
      <c r="G10" s="177">
        <f t="shared" si="0"/>
        <v>466.32865207465636</v>
      </c>
      <c r="H10" s="177">
        <f t="shared" si="0"/>
        <v>844.43466115994181</v>
      </c>
      <c r="I10" s="177">
        <f t="shared" si="0"/>
        <v>1182.4560046116078</v>
      </c>
      <c r="J10" s="177">
        <f t="shared" si="0"/>
        <v>1884.1681329250562</v>
      </c>
      <c r="K10" s="177">
        <f t="shared" si="0"/>
        <v>2697.1799550415381</v>
      </c>
      <c r="L10" s="177">
        <f t="shared" si="0"/>
        <v>3416.8344859021413</v>
      </c>
      <c r="M10" s="178">
        <f t="shared" si="0"/>
        <v>4312.3908386271041</v>
      </c>
    </row>
    <row r="12" spans="1:13" ht="17" x14ac:dyDescent="0.4">
      <c r="A12" s="138" t="s">
        <v>215</v>
      </c>
      <c r="B12" s="130">
        <f>SUM(F10:M10)</f>
        <v>14370.416665239412</v>
      </c>
      <c r="C12" s="19">
        <f>B12/B15</f>
        <v>0.20224270607918182</v>
      </c>
    </row>
    <row r="13" spans="1:13" ht="17" x14ac:dyDescent="0.4">
      <c r="A13" s="138" t="s">
        <v>216</v>
      </c>
      <c r="B13" s="130">
        <f>M8*(1+B4)/(B3-B4)</f>
        <v>144924.88175656382</v>
      </c>
    </row>
    <row r="14" spans="1:13" ht="17.5" thickBot="1" x14ac:dyDescent="0.45">
      <c r="A14" s="138" t="s">
        <v>217</v>
      </c>
      <c r="B14" s="130">
        <f>B13*M9</f>
        <v>56684.885866230492</v>
      </c>
      <c r="C14" s="19">
        <f>B14/B15</f>
        <v>0.79775729392081818</v>
      </c>
    </row>
    <row r="15" spans="1:13" ht="17.5" thickBot="1" x14ac:dyDescent="0.45">
      <c r="A15" s="182" t="s">
        <v>221</v>
      </c>
      <c r="B15" s="183">
        <f>B12+B14</f>
        <v>71055.302531469904</v>
      </c>
    </row>
    <row r="16" spans="1:13" ht="17" x14ac:dyDescent="0.4">
      <c r="A16" s="129" t="s">
        <v>218</v>
      </c>
    </row>
    <row r="17" spans="1:4" ht="17" x14ac:dyDescent="0.4">
      <c r="A17" s="138" t="s">
        <v>197</v>
      </c>
      <c r="B17">
        <f>-'Balance Sheet'!E40</f>
        <v>-965.27</v>
      </c>
      <c r="D17" s="40"/>
    </row>
    <row r="18" spans="1:4" ht="17" x14ac:dyDescent="0.4">
      <c r="A18" s="129" t="s">
        <v>219</v>
      </c>
      <c r="D18" s="40"/>
    </row>
    <row r="19" spans="1:4" x14ac:dyDescent="0.35">
      <c r="A19" s="7" t="str">
        <f>'Balance Sheet'!A9</f>
        <v>Investment properties</v>
      </c>
      <c r="B19">
        <f>'Balance Sheet'!E9</f>
        <v>7.26</v>
      </c>
    </row>
    <row r="20" spans="1:4" x14ac:dyDescent="0.35">
      <c r="A20" s="7" t="str">
        <f>'Balance Sheet'!A10</f>
        <v>Goodwill</v>
      </c>
      <c r="B20">
        <f>'Balance Sheet'!E10</f>
        <v>78.27</v>
      </c>
    </row>
    <row r="21" spans="1:4" x14ac:dyDescent="0.35">
      <c r="A21" s="7" t="str">
        <f>'Balance Sheet'!A11</f>
        <v>Intangible assets</v>
      </c>
      <c r="B21">
        <f>'Balance Sheet'!E11</f>
        <v>36.42</v>
      </c>
    </row>
    <row r="22" spans="1:4" x14ac:dyDescent="0.35">
      <c r="A22" s="7" t="str">
        <f>'Balance Sheet'!A12</f>
        <v>Financial assets</v>
      </c>
      <c r="B22">
        <f>'Balance Sheet'!E12</f>
        <v>2.0099999999999998</v>
      </c>
    </row>
    <row r="23" spans="1:4" x14ac:dyDescent="0.35">
      <c r="A23" s="7" t="str">
        <f>'Balance Sheet'!A13</f>
        <v>Other non-current financial assets</v>
      </c>
      <c r="B23">
        <f>'Balance Sheet'!E13</f>
        <v>196.71</v>
      </c>
    </row>
    <row r="24" spans="1:4" x14ac:dyDescent="0.35">
      <c r="A24" s="7" t="str">
        <f>'Balance Sheet'!A22</f>
        <v xml:space="preserve">  Investments</v>
      </c>
      <c r="B24">
        <v>2</v>
      </c>
    </row>
    <row r="25" spans="1:4" x14ac:dyDescent="0.35">
      <c r="A25" s="7" t="str">
        <f>'Balance Sheet'!A24</f>
        <v xml:space="preserve">  Cash and cash equivalents</v>
      </c>
      <c r="B25">
        <f>'Balance Sheet'!E24</f>
        <v>283.70999999999998</v>
      </c>
    </row>
    <row r="26" spans="1:4" ht="29" x14ac:dyDescent="0.35">
      <c r="A26" s="191" t="str">
        <f>'Balance Sheet'!A25</f>
        <v xml:space="preserve">  Bank balances other than cash and cash equivalents</v>
      </c>
      <c r="B26">
        <f>'Balance Sheet'!E25</f>
        <v>20.07</v>
      </c>
    </row>
    <row r="27" spans="1:4" x14ac:dyDescent="0.35">
      <c r="A27" s="7" t="str">
        <f>'Balance Sheet'!A26</f>
        <v xml:space="preserve">  Other current financial assets</v>
      </c>
      <c r="B27">
        <f>'Balance Sheet'!E26</f>
        <v>726.6</v>
      </c>
    </row>
    <row r="28" spans="1:4" ht="15" thickBot="1" x14ac:dyDescent="0.4">
      <c r="A28" s="7" t="str">
        <f>'Balance Sheet'!A27</f>
        <v>Other current assets</v>
      </c>
      <c r="B28">
        <f>'Balance Sheet'!E27</f>
        <v>395.42</v>
      </c>
    </row>
    <row r="29" spans="1:4" ht="17" x14ac:dyDescent="0.4">
      <c r="A29" s="146" t="s">
        <v>220</v>
      </c>
      <c r="B29" s="184">
        <f>B15+SUM(B17:B28)</f>
        <v>71838.502531469901</v>
      </c>
    </row>
    <row r="30" spans="1:4" ht="16" x14ac:dyDescent="0.4">
      <c r="A30" s="185" t="s">
        <v>224</v>
      </c>
      <c r="B30" s="186">
        <v>65.197000000000003</v>
      </c>
    </row>
    <row r="31" spans="1:4" ht="16" x14ac:dyDescent="0.4">
      <c r="A31" s="39"/>
      <c r="B31" s="39"/>
    </row>
    <row r="32" spans="1:4" ht="16" x14ac:dyDescent="0.4">
      <c r="A32" s="187" t="s">
        <v>225</v>
      </c>
      <c r="B32" s="188">
        <f>B29/B30</f>
        <v>1101.8682229469132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3B91-6874-4B48-96B2-444E96AA7234}">
  <dimension ref="A1:G9"/>
  <sheetViews>
    <sheetView workbookViewId="0">
      <selection activeCell="A5" sqref="A5:A9"/>
    </sheetView>
  </sheetViews>
  <sheetFormatPr defaultRowHeight="14.5" x14ac:dyDescent="0.35"/>
  <cols>
    <col min="2" max="2" width="9.6328125" customWidth="1"/>
  </cols>
  <sheetData>
    <row r="1" spans="1:7" ht="15.5" thickTop="1" thickBot="1" x14ac:dyDescent="0.4">
      <c r="A1" s="196" t="s">
        <v>226</v>
      </c>
      <c r="B1" s="196"/>
      <c r="C1" s="196"/>
      <c r="D1" s="196"/>
    </row>
    <row r="2" spans="1:7" ht="15" thickTop="1" x14ac:dyDescent="0.35"/>
    <row r="3" spans="1:7" x14ac:dyDescent="0.35">
      <c r="C3" s="197" t="s">
        <v>199</v>
      </c>
      <c r="D3" s="197"/>
      <c r="E3" s="197"/>
      <c r="F3" s="197"/>
      <c r="G3" s="197"/>
    </row>
    <row r="4" spans="1:7" ht="16" x14ac:dyDescent="0.4">
      <c r="B4" s="190">
        <f>'DCF Valuation'!B32</f>
        <v>1101.8682229469132</v>
      </c>
      <c r="C4" s="100">
        <v>0.1145</v>
      </c>
      <c r="D4" s="192">
        <v>0.1245</v>
      </c>
      <c r="E4" s="100">
        <v>0.13450000000000001</v>
      </c>
      <c r="F4" s="192">
        <v>0.14449999999999999</v>
      </c>
      <c r="G4" s="193">
        <v>0.1545</v>
      </c>
    </row>
    <row r="5" spans="1:7" ht="16" x14ac:dyDescent="0.4">
      <c r="A5" s="198" t="s">
        <v>227</v>
      </c>
      <c r="B5" s="189">
        <v>0.04</v>
      </c>
      <c r="C5">
        <v>1237</v>
      </c>
      <c r="D5">
        <v>1046.51</v>
      </c>
      <c r="E5">
        <v>898.49</v>
      </c>
      <c r="F5">
        <v>780.7</v>
      </c>
      <c r="G5">
        <v>685.12</v>
      </c>
    </row>
    <row r="6" spans="1:7" ht="16" x14ac:dyDescent="0.4">
      <c r="A6" s="198"/>
      <c r="B6" s="100">
        <v>4.4999999999999998E-2</v>
      </c>
      <c r="C6">
        <v>1313.6</v>
      </c>
      <c r="D6">
        <v>1101.8699999999999</v>
      </c>
      <c r="E6">
        <v>939.81</v>
      </c>
      <c r="F6">
        <v>812.32</v>
      </c>
      <c r="G6">
        <v>709.79</v>
      </c>
    </row>
    <row r="7" spans="1:7" ht="16" x14ac:dyDescent="0.4">
      <c r="A7" s="198"/>
      <c r="B7" s="189">
        <v>0.05</v>
      </c>
      <c r="C7">
        <v>1401.91</v>
      </c>
      <c r="D7">
        <v>1164.6600000000001</v>
      </c>
      <c r="E7">
        <v>986.03</v>
      </c>
      <c r="F7">
        <v>847.28</v>
      </c>
      <c r="G7">
        <v>736.82</v>
      </c>
    </row>
    <row r="8" spans="1:7" ht="16" x14ac:dyDescent="0.4">
      <c r="A8" s="198"/>
      <c r="B8" s="100">
        <v>5.5E-2</v>
      </c>
      <c r="C8">
        <v>1505.07</v>
      </c>
      <c r="D8">
        <v>1236.48</v>
      </c>
      <c r="E8">
        <v>1038.07</v>
      </c>
      <c r="F8">
        <v>886.14</v>
      </c>
      <c r="G8">
        <v>766.57</v>
      </c>
    </row>
    <row r="9" spans="1:7" x14ac:dyDescent="0.35">
      <c r="A9" s="198"/>
      <c r="B9" s="193">
        <v>0.06</v>
      </c>
      <c r="C9">
        <v>1627</v>
      </c>
      <c r="D9">
        <v>1319.45</v>
      </c>
      <c r="E9">
        <v>1097.08</v>
      </c>
      <c r="F9">
        <v>929.61</v>
      </c>
      <c r="G9">
        <v>799.46</v>
      </c>
    </row>
  </sheetData>
  <protectedRanges>
    <protectedRange sqref="B4:F8" name="Range1"/>
  </protectedRanges>
  <mergeCells count="3">
    <mergeCell ref="A1:D1"/>
    <mergeCell ref="C3:G3"/>
    <mergeCell ref="A5:A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F968-EF31-4777-A80E-F32EBA0A07AE}">
  <dimension ref="A1:O1128"/>
  <sheetViews>
    <sheetView workbookViewId="0">
      <selection activeCell="D4" sqref="D4"/>
    </sheetView>
  </sheetViews>
  <sheetFormatPr defaultRowHeight="14.5" x14ac:dyDescent="0.35"/>
  <cols>
    <col min="1" max="1" width="10.08984375" bestFit="1" customWidth="1"/>
    <col min="9" max="9" width="13.453125" customWidth="1"/>
    <col min="10" max="10" width="13.08984375" customWidth="1"/>
  </cols>
  <sheetData>
    <row r="1" spans="1:15" x14ac:dyDescent="0.35">
      <c r="A1" s="140">
        <v>44652</v>
      </c>
      <c r="B1" s="8">
        <v>3944.25</v>
      </c>
      <c r="C1" s="8"/>
      <c r="D1" s="8"/>
      <c r="E1" s="8"/>
      <c r="G1" s="19"/>
      <c r="I1" s="140">
        <v>44652</v>
      </c>
      <c r="J1" s="8">
        <v>17102.55</v>
      </c>
      <c r="K1" s="8"/>
      <c r="L1" s="8"/>
      <c r="M1" s="8"/>
      <c r="O1" s="19"/>
    </row>
    <row r="2" spans="1:15" x14ac:dyDescent="0.35">
      <c r="A2" s="140">
        <v>44682</v>
      </c>
      <c r="B2" s="8">
        <v>3972.8</v>
      </c>
      <c r="C2" s="8"/>
      <c r="D2" s="8"/>
      <c r="E2" s="8"/>
      <c r="G2" s="19">
        <v>7.1999999999999998E-3</v>
      </c>
      <c r="I2" s="140">
        <v>44682</v>
      </c>
      <c r="J2" s="8">
        <v>16584.55</v>
      </c>
      <c r="K2" s="8"/>
      <c r="L2" s="8"/>
      <c r="M2" s="8"/>
      <c r="O2" s="19">
        <v>-3.0300000000000001E-2</v>
      </c>
    </row>
    <row r="3" spans="1:15" x14ac:dyDescent="0.35">
      <c r="A3" s="140">
        <v>44713</v>
      </c>
      <c r="B3" s="8">
        <v>3406.1</v>
      </c>
      <c r="C3" s="8"/>
      <c r="D3" s="8"/>
      <c r="E3" s="8"/>
      <c r="G3" s="19">
        <v>-0.1426</v>
      </c>
      <c r="I3" s="140">
        <v>44713</v>
      </c>
      <c r="J3" s="8">
        <v>15780.25</v>
      </c>
      <c r="K3" s="8"/>
      <c r="L3" s="8"/>
      <c r="M3" s="8"/>
      <c r="O3" s="19">
        <v>-4.8500000000000001E-2</v>
      </c>
    </row>
    <row r="4" spans="1:15" x14ac:dyDescent="0.35">
      <c r="A4" s="140">
        <v>44743</v>
      </c>
      <c r="B4" s="8">
        <v>4243.8500000000004</v>
      </c>
      <c r="C4" s="8"/>
      <c r="D4" s="8">
        <f>SLOPE(G2:G55,O2:O55)</f>
        <v>1.1266136108326057</v>
      </c>
      <c r="E4" s="8"/>
      <c r="G4" s="19">
        <v>0.246</v>
      </c>
      <c r="I4" s="140">
        <v>44743</v>
      </c>
      <c r="J4" s="8">
        <v>17158.25</v>
      </c>
      <c r="K4" s="8"/>
      <c r="L4" s="8"/>
      <c r="M4" s="8"/>
      <c r="O4" s="19">
        <v>8.7300000000000003E-2</v>
      </c>
    </row>
    <row r="5" spans="1:15" x14ac:dyDescent="0.35">
      <c r="A5" s="140">
        <v>44774</v>
      </c>
      <c r="B5" s="8">
        <v>4531.3500000000004</v>
      </c>
      <c r="C5" s="8"/>
      <c r="D5" s="8"/>
      <c r="E5" s="8"/>
      <c r="G5" s="19">
        <v>6.7699999999999996E-2</v>
      </c>
      <c r="I5" s="140">
        <v>44774</v>
      </c>
      <c r="J5" s="8">
        <v>17759.3</v>
      </c>
      <c r="K5" s="8"/>
      <c r="L5" s="8"/>
      <c r="M5" s="8"/>
      <c r="O5" s="19">
        <v>3.5000000000000003E-2</v>
      </c>
    </row>
    <row r="6" spans="1:15" x14ac:dyDescent="0.35">
      <c r="A6" s="140">
        <v>44805</v>
      </c>
      <c r="B6" s="8">
        <v>4386.55</v>
      </c>
      <c r="C6" s="8"/>
      <c r="D6" s="8"/>
      <c r="E6" s="8"/>
      <c r="G6" s="19">
        <v>-3.2000000000000001E-2</v>
      </c>
      <c r="I6" s="140">
        <v>44805</v>
      </c>
      <c r="J6" s="8">
        <v>17094.349999999999</v>
      </c>
      <c r="K6" s="8"/>
      <c r="L6" s="8"/>
      <c r="M6" s="8"/>
      <c r="O6" s="19">
        <v>-3.7400000000000003E-2</v>
      </c>
    </row>
    <row r="7" spans="1:15" x14ac:dyDescent="0.35">
      <c r="A7" s="140">
        <v>44835</v>
      </c>
      <c r="B7" s="8">
        <v>4320.8999999999996</v>
      </c>
      <c r="C7" s="8"/>
      <c r="D7" s="8"/>
      <c r="E7" s="8"/>
      <c r="G7" s="19">
        <v>-1.4999999999999999E-2</v>
      </c>
      <c r="I7" s="140">
        <v>44835</v>
      </c>
      <c r="J7" s="8">
        <v>18012.2</v>
      </c>
      <c r="K7" s="8"/>
      <c r="L7" s="8"/>
      <c r="M7" s="8"/>
      <c r="O7" s="19">
        <v>5.3699999999999998E-2</v>
      </c>
    </row>
    <row r="8" spans="1:15" x14ac:dyDescent="0.35">
      <c r="A8" s="140">
        <v>44866</v>
      </c>
      <c r="B8" s="8">
        <v>4025.5</v>
      </c>
      <c r="C8" s="8"/>
      <c r="D8" s="8"/>
      <c r="E8" s="8"/>
      <c r="G8" s="19">
        <v>-6.8400000000000002E-2</v>
      </c>
      <c r="I8" s="140">
        <v>44866</v>
      </c>
      <c r="J8" s="8">
        <v>18758.349999999999</v>
      </c>
      <c r="K8" s="8"/>
      <c r="L8" s="8"/>
      <c r="M8" s="8"/>
      <c r="O8" s="19">
        <v>4.1399999999999999E-2</v>
      </c>
    </row>
    <row r="9" spans="1:15" x14ac:dyDescent="0.35">
      <c r="A9" s="140">
        <v>44896</v>
      </c>
      <c r="B9" s="8">
        <v>4068.75</v>
      </c>
      <c r="C9" s="8"/>
      <c r="D9" s="8"/>
      <c r="E9" s="8"/>
      <c r="G9" s="19">
        <v>1.0699999999999999E-2</v>
      </c>
      <c r="I9" s="140">
        <v>44896</v>
      </c>
      <c r="J9" s="8">
        <v>18105.3</v>
      </c>
      <c r="K9" s="8"/>
      <c r="L9" s="8"/>
      <c r="M9" s="8"/>
      <c r="O9" s="19">
        <v>-3.4799999999999998E-2</v>
      </c>
    </row>
    <row r="10" spans="1:15" x14ac:dyDescent="0.35">
      <c r="A10" s="140">
        <v>44927</v>
      </c>
      <c r="B10" s="8">
        <v>3502.3</v>
      </c>
      <c r="C10" s="8"/>
      <c r="D10" s="8"/>
      <c r="E10" s="8"/>
      <c r="G10" s="19">
        <v>-0.13919999999999999</v>
      </c>
      <c r="I10" s="140">
        <v>44927</v>
      </c>
      <c r="J10" s="8">
        <v>17662.150000000001</v>
      </c>
      <c r="K10" s="8"/>
      <c r="L10" s="8"/>
      <c r="M10" s="8"/>
      <c r="O10" s="19">
        <v>-2.4500000000000001E-2</v>
      </c>
    </row>
    <row r="11" spans="1:15" x14ac:dyDescent="0.35">
      <c r="A11" s="140">
        <v>44958</v>
      </c>
      <c r="B11" s="8">
        <v>3416.95</v>
      </c>
      <c r="C11" s="8"/>
      <c r="D11" s="8"/>
      <c r="E11" s="8"/>
      <c r="G11" s="19">
        <v>-2.4400000000000002E-2</v>
      </c>
      <c r="I11" s="140">
        <v>44958</v>
      </c>
      <c r="J11" s="8">
        <v>17303.95</v>
      </c>
      <c r="K11" s="8"/>
      <c r="L11" s="8"/>
      <c r="M11" s="8"/>
      <c r="O11" s="19">
        <v>-2.0299999999999999E-2</v>
      </c>
    </row>
    <row r="12" spans="1:15" x14ac:dyDescent="0.35">
      <c r="A12" s="140">
        <v>44986</v>
      </c>
      <c r="B12" s="8">
        <v>3401.05</v>
      </c>
      <c r="C12" s="8"/>
      <c r="D12" s="8"/>
      <c r="E12" s="8"/>
      <c r="G12" s="19">
        <v>-4.7000000000000002E-3</v>
      </c>
      <c r="I12" s="140">
        <v>44986</v>
      </c>
      <c r="J12" s="8">
        <v>17359.75</v>
      </c>
      <c r="K12" s="8"/>
      <c r="L12" s="8"/>
      <c r="M12" s="8"/>
      <c r="O12" s="19">
        <v>3.2000000000000002E-3</v>
      </c>
    </row>
    <row r="13" spans="1:15" x14ac:dyDescent="0.35">
      <c r="A13" s="140">
        <v>45017</v>
      </c>
      <c r="B13" s="8">
        <v>3511.95</v>
      </c>
      <c r="C13" s="8"/>
      <c r="D13" s="8"/>
      <c r="E13" s="8"/>
      <c r="G13" s="19">
        <v>3.2599999999999997E-2</v>
      </c>
      <c r="I13" s="140">
        <v>45017</v>
      </c>
      <c r="J13" s="8">
        <v>18065</v>
      </c>
      <c r="K13" s="8"/>
      <c r="L13" s="8"/>
      <c r="M13" s="8"/>
      <c r="O13" s="19">
        <v>4.0599999999999997E-2</v>
      </c>
    </row>
    <row r="14" spans="1:15" x14ac:dyDescent="0.35">
      <c r="A14" s="140">
        <v>45047</v>
      </c>
      <c r="B14" s="8">
        <v>3471.25</v>
      </c>
      <c r="C14" s="8"/>
      <c r="D14" s="8"/>
      <c r="E14" s="8"/>
      <c r="G14" s="19">
        <v>-1.1599999999999999E-2</v>
      </c>
      <c r="I14" s="140">
        <v>45047</v>
      </c>
      <c r="J14" s="8">
        <v>18534.400000000001</v>
      </c>
      <c r="K14" s="8"/>
      <c r="L14" s="8"/>
      <c r="M14" s="8"/>
      <c r="O14" s="19">
        <v>2.5999999999999999E-2</v>
      </c>
    </row>
    <row r="15" spans="1:15" x14ac:dyDescent="0.35">
      <c r="A15" s="140">
        <v>45078</v>
      </c>
      <c r="B15" s="8">
        <v>3889.2</v>
      </c>
      <c r="C15" s="8"/>
      <c r="D15" s="8"/>
      <c r="E15" s="8"/>
      <c r="G15" s="19">
        <v>0.12039999999999999</v>
      </c>
      <c r="I15" s="140">
        <v>45078</v>
      </c>
      <c r="J15" s="8">
        <v>19189.05</v>
      </c>
      <c r="K15" s="8"/>
      <c r="L15" s="8"/>
      <c r="M15" s="8"/>
      <c r="O15" s="19">
        <v>3.5299999999999998E-2</v>
      </c>
    </row>
    <row r="16" spans="1:15" x14ac:dyDescent="0.35">
      <c r="A16" s="140">
        <v>45108</v>
      </c>
      <c r="B16" s="8">
        <v>3752.8</v>
      </c>
      <c r="C16" s="8"/>
      <c r="D16" s="8"/>
      <c r="E16" s="8"/>
      <c r="G16" s="19">
        <v>-3.5099999999999999E-2</v>
      </c>
      <c r="I16" s="140">
        <v>45108</v>
      </c>
      <c r="J16" s="8">
        <v>19753.8</v>
      </c>
      <c r="K16" s="8"/>
      <c r="L16" s="8"/>
      <c r="M16" s="8"/>
      <c r="O16" s="19">
        <v>2.9399999999999999E-2</v>
      </c>
    </row>
    <row r="17" spans="1:15" x14ac:dyDescent="0.35">
      <c r="A17" s="140">
        <v>45139</v>
      </c>
      <c r="B17" s="8">
        <v>3720.4</v>
      </c>
      <c r="C17" s="8"/>
      <c r="D17" s="8"/>
      <c r="E17" s="8"/>
      <c r="G17" s="19">
        <v>-8.6E-3</v>
      </c>
      <c r="I17" s="140">
        <v>45139</v>
      </c>
      <c r="J17" s="8">
        <v>19253.8</v>
      </c>
      <c r="K17" s="8"/>
      <c r="L17" s="8"/>
      <c r="M17" s="8"/>
      <c r="O17" s="19">
        <v>-2.53E-2</v>
      </c>
    </row>
    <row r="18" spans="1:15" x14ac:dyDescent="0.35">
      <c r="A18" s="140">
        <v>45170</v>
      </c>
      <c r="B18" s="8">
        <v>3675.6</v>
      </c>
      <c r="C18" s="8"/>
      <c r="D18" s="8"/>
      <c r="E18" s="8"/>
      <c r="G18" s="19">
        <v>-1.2E-2</v>
      </c>
      <c r="I18" s="140">
        <v>45170</v>
      </c>
      <c r="J18" s="8">
        <v>19638.3</v>
      </c>
      <c r="K18" s="8"/>
      <c r="L18" s="8"/>
      <c r="M18" s="8"/>
      <c r="O18" s="19">
        <v>0.02</v>
      </c>
    </row>
    <row r="19" spans="1:15" x14ac:dyDescent="0.35">
      <c r="A19" s="140">
        <v>45200</v>
      </c>
      <c r="B19" s="8">
        <v>3633.4</v>
      </c>
      <c r="C19" s="8"/>
      <c r="D19" s="8"/>
      <c r="E19" s="8"/>
      <c r="G19" s="19">
        <v>-1.15E-2</v>
      </c>
      <c r="I19" s="140">
        <v>45200</v>
      </c>
      <c r="J19" s="8">
        <v>19079.599999999999</v>
      </c>
      <c r="K19" s="8"/>
      <c r="L19" s="8"/>
      <c r="M19" s="8"/>
      <c r="O19" s="19">
        <v>-2.8400000000000002E-2</v>
      </c>
    </row>
    <row r="20" spans="1:15" x14ac:dyDescent="0.35">
      <c r="A20" s="140">
        <v>45231</v>
      </c>
      <c r="B20" s="8">
        <v>3949.75</v>
      </c>
      <c r="C20" s="8"/>
      <c r="D20" s="8"/>
      <c r="E20" s="8"/>
      <c r="G20" s="19">
        <v>8.7099999999999997E-2</v>
      </c>
      <c r="I20" s="140">
        <v>45231</v>
      </c>
      <c r="J20" s="8">
        <v>20133.150000000001</v>
      </c>
      <c r="K20" s="8"/>
      <c r="L20" s="8"/>
      <c r="M20" s="8"/>
      <c r="O20" s="19">
        <v>5.5199999999999999E-2</v>
      </c>
    </row>
    <row r="21" spans="1:15" x14ac:dyDescent="0.35">
      <c r="A21" s="140">
        <v>45261</v>
      </c>
      <c r="B21" s="8">
        <v>4082.65</v>
      </c>
      <c r="C21" s="8"/>
      <c r="D21" s="8"/>
      <c r="E21" s="8"/>
      <c r="G21" s="19">
        <v>3.3599999999999998E-2</v>
      </c>
      <c r="I21" s="140">
        <v>45261</v>
      </c>
      <c r="J21" s="8">
        <v>21731.4</v>
      </c>
      <c r="K21" s="8"/>
      <c r="L21" s="8"/>
      <c r="M21" s="8"/>
      <c r="O21" s="19">
        <v>7.9399999999999998E-2</v>
      </c>
    </row>
    <row r="22" spans="1:15" x14ac:dyDescent="0.35">
      <c r="A22" s="140">
        <v>45292</v>
      </c>
      <c r="B22" s="8">
        <v>3792.7</v>
      </c>
      <c r="C22" s="8"/>
      <c r="D22" s="8"/>
      <c r="E22" s="8"/>
      <c r="G22" s="19">
        <v>-7.0999999999999994E-2</v>
      </c>
      <c r="I22" s="140">
        <v>45292</v>
      </c>
      <c r="J22" s="8">
        <v>21725.7</v>
      </c>
      <c r="K22" s="8"/>
      <c r="L22" s="8"/>
      <c r="M22" s="8"/>
      <c r="O22" s="19">
        <v>-2.9999999999999997E-4</v>
      </c>
    </row>
    <row r="23" spans="1:15" x14ac:dyDescent="0.35">
      <c r="A23" s="140">
        <v>45323</v>
      </c>
      <c r="B23" s="8">
        <v>3918.9</v>
      </c>
      <c r="C23" s="8"/>
      <c r="D23" s="8"/>
      <c r="E23" s="8"/>
      <c r="G23" s="19">
        <v>3.3300000000000003E-2</v>
      </c>
      <c r="I23" s="140">
        <v>45323</v>
      </c>
      <c r="J23" s="8">
        <v>21982.799999999999</v>
      </c>
      <c r="K23" s="8"/>
      <c r="L23" s="8"/>
      <c r="M23" s="8"/>
      <c r="O23" s="19">
        <v>1.18E-2</v>
      </c>
    </row>
    <row r="24" spans="1:15" x14ac:dyDescent="0.35">
      <c r="A24" s="140">
        <v>45352</v>
      </c>
      <c r="B24" s="8">
        <v>4525.6000000000004</v>
      </c>
      <c r="C24" s="8"/>
      <c r="D24" s="8"/>
      <c r="E24" s="8"/>
      <c r="G24" s="19">
        <v>0.15479999999999999</v>
      </c>
      <c r="I24" s="140">
        <v>45352</v>
      </c>
      <c r="J24" s="8">
        <v>22326.9</v>
      </c>
      <c r="K24" s="8"/>
      <c r="L24" s="8"/>
      <c r="M24" s="8"/>
      <c r="O24" s="19">
        <v>1.5699999999999999E-2</v>
      </c>
    </row>
    <row r="25" spans="1:15" x14ac:dyDescent="0.35">
      <c r="A25" s="140">
        <v>45383</v>
      </c>
      <c r="B25" s="8">
        <v>4603.8</v>
      </c>
      <c r="C25" s="8"/>
      <c r="D25" s="8"/>
      <c r="E25" s="8"/>
      <c r="G25" s="19">
        <v>1.7299999999999999E-2</v>
      </c>
      <c r="I25" s="140">
        <v>45383</v>
      </c>
      <c r="J25" s="8">
        <v>22604.85</v>
      </c>
      <c r="K25" s="8"/>
      <c r="L25" s="8"/>
      <c r="M25" s="8"/>
      <c r="O25" s="19">
        <v>1.24E-2</v>
      </c>
    </row>
    <row r="26" spans="1:15" x14ac:dyDescent="0.35">
      <c r="A26" s="140">
        <v>45413</v>
      </c>
      <c r="B26" s="8">
        <v>4302.1499999999996</v>
      </c>
      <c r="C26" s="8"/>
      <c r="D26" s="8"/>
      <c r="E26" s="8"/>
      <c r="G26" s="19">
        <v>-6.5500000000000003E-2</v>
      </c>
      <c r="I26" s="140">
        <v>45413</v>
      </c>
      <c r="J26" s="8">
        <v>22530.7</v>
      </c>
      <c r="K26" s="8"/>
      <c r="L26" s="8"/>
      <c r="M26" s="8"/>
      <c r="O26" s="19">
        <v>-3.3E-3</v>
      </c>
    </row>
    <row r="27" spans="1:15" x14ac:dyDescent="0.35">
      <c r="A27" s="140">
        <v>45444</v>
      </c>
      <c r="B27" s="8">
        <v>4716.75</v>
      </c>
      <c r="C27" s="8"/>
      <c r="D27" s="8"/>
      <c r="E27" s="8"/>
      <c r="G27" s="19">
        <v>9.64E-2</v>
      </c>
      <c r="I27" s="140">
        <v>45444</v>
      </c>
      <c r="J27" s="8">
        <v>24010.6</v>
      </c>
      <c r="K27" s="8"/>
      <c r="L27" s="8"/>
      <c r="M27" s="8"/>
      <c r="O27" s="19">
        <v>6.5699999999999995E-2</v>
      </c>
    </row>
    <row r="28" spans="1:15" x14ac:dyDescent="0.35">
      <c r="A28" s="140">
        <v>45474</v>
      </c>
      <c r="B28" s="8">
        <v>4935.95</v>
      </c>
      <c r="C28" s="8"/>
      <c r="D28" s="8"/>
      <c r="E28" s="8"/>
      <c r="G28" s="19">
        <v>4.65E-2</v>
      </c>
      <c r="I28" s="140">
        <v>45474</v>
      </c>
      <c r="J28" s="8">
        <v>24951.15</v>
      </c>
      <c r="K28" s="8"/>
      <c r="L28" s="8"/>
      <c r="M28" s="8"/>
      <c r="O28" s="19">
        <v>3.9199999999999999E-2</v>
      </c>
    </row>
    <row r="29" spans="1:15" x14ac:dyDescent="0.35">
      <c r="A29" s="140">
        <v>45505</v>
      </c>
      <c r="B29" s="8">
        <v>4927.45</v>
      </c>
      <c r="C29" s="8"/>
      <c r="D29" s="8"/>
      <c r="E29" s="8"/>
      <c r="G29" s="19">
        <v>-1.6999999999999999E-3</v>
      </c>
      <c r="I29" s="140">
        <v>45505</v>
      </c>
      <c r="J29" s="8">
        <v>25235.9</v>
      </c>
      <c r="K29" s="8"/>
      <c r="L29" s="8"/>
      <c r="M29" s="8"/>
      <c r="O29" s="19">
        <v>1.14E-2</v>
      </c>
    </row>
    <row r="30" spans="1:15" x14ac:dyDescent="0.35">
      <c r="A30" s="140">
        <v>45536</v>
      </c>
      <c r="B30" s="8">
        <v>5096.3</v>
      </c>
      <c r="C30" s="8"/>
      <c r="D30" s="8"/>
      <c r="E30" s="8"/>
      <c r="G30" s="19">
        <v>3.4299999999999997E-2</v>
      </c>
      <c r="I30" s="140">
        <v>45536</v>
      </c>
      <c r="J30" s="8">
        <v>25810.85</v>
      </c>
      <c r="K30" s="8"/>
      <c r="L30" s="8"/>
      <c r="M30" s="8"/>
      <c r="O30" s="19">
        <v>2.2800000000000001E-2</v>
      </c>
    </row>
    <row r="31" spans="1:15" x14ac:dyDescent="0.35">
      <c r="A31" s="140">
        <v>45566</v>
      </c>
      <c r="B31" s="8">
        <v>3930.7</v>
      </c>
      <c r="C31" s="8"/>
      <c r="D31" s="8"/>
      <c r="E31" s="8"/>
      <c r="G31" s="19">
        <v>-0.22869999999999999</v>
      </c>
      <c r="I31" s="140">
        <v>45566</v>
      </c>
      <c r="J31" s="8">
        <v>24205.35</v>
      </c>
      <c r="K31" s="8"/>
      <c r="L31" s="8"/>
      <c r="M31" s="8"/>
      <c r="O31" s="19">
        <v>-6.2199999999999998E-2</v>
      </c>
    </row>
    <row r="32" spans="1:15" x14ac:dyDescent="0.35">
      <c r="A32" s="140">
        <v>45597</v>
      </c>
      <c r="B32" s="8">
        <v>3709.6</v>
      </c>
      <c r="C32" s="8"/>
      <c r="D32" s="8"/>
      <c r="E32" s="8"/>
      <c r="G32" s="19">
        <v>-5.62E-2</v>
      </c>
      <c r="I32" s="140">
        <v>45597</v>
      </c>
      <c r="J32" s="8">
        <v>24131.1</v>
      </c>
      <c r="K32" s="8"/>
      <c r="L32" s="8"/>
      <c r="M32" s="8"/>
      <c r="O32" s="19">
        <v>-3.0999999999999999E-3</v>
      </c>
    </row>
    <row r="33" spans="1:15" x14ac:dyDescent="0.35">
      <c r="A33" s="140">
        <v>45627</v>
      </c>
      <c r="B33" s="8">
        <v>3561.85</v>
      </c>
      <c r="C33" s="8"/>
      <c r="D33" s="8"/>
      <c r="E33" s="8"/>
      <c r="G33" s="19">
        <v>-3.9800000000000002E-2</v>
      </c>
      <c r="I33" s="140">
        <v>45627</v>
      </c>
      <c r="J33" s="8">
        <v>23644.799999999999</v>
      </c>
      <c r="K33" s="8"/>
      <c r="L33" s="8"/>
      <c r="M33" s="8"/>
      <c r="O33" s="19">
        <v>-2.0199999999999999E-2</v>
      </c>
    </row>
    <row r="34" spans="1:15" x14ac:dyDescent="0.35">
      <c r="A34" s="140">
        <v>45658</v>
      </c>
      <c r="B34" s="8">
        <v>3664.65</v>
      </c>
      <c r="C34" s="8"/>
      <c r="D34" s="8"/>
      <c r="E34" s="8"/>
      <c r="G34" s="19">
        <v>2.8899999999999999E-2</v>
      </c>
      <c r="I34" s="140">
        <v>45658</v>
      </c>
      <c r="J34" s="8">
        <v>23508.400000000001</v>
      </c>
      <c r="K34" s="8"/>
      <c r="L34" s="8"/>
      <c r="M34" s="8"/>
      <c r="O34" s="19">
        <v>-5.7999999999999996E-3</v>
      </c>
    </row>
    <row r="35" spans="1:15" x14ac:dyDescent="0.35">
      <c r="A35" s="140">
        <v>45689</v>
      </c>
      <c r="B35" s="8">
        <v>3403.95</v>
      </c>
      <c r="C35" s="8"/>
      <c r="D35" s="8"/>
      <c r="E35" s="8"/>
      <c r="G35" s="19">
        <v>-7.1099999999999997E-2</v>
      </c>
      <c r="I35" s="140">
        <v>45689</v>
      </c>
      <c r="J35" s="8">
        <v>22124.7</v>
      </c>
      <c r="K35" s="8"/>
      <c r="L35" s="8"/>
      <c r="M35" s="8"/>
      <c r="O35" s="19">
        <v>-5.8900000000000001E-2</v>
      </c>
    </row>
    <row r="36" spans="1:15" x14ac:dyDescent="0.35">
      <c r="A36" s="140">
        <v>45717</v>
      </c>
      <c r="B36" s="8">
        <v>4083.2</v>
      </c>
      <c r="C36" s="8"/>
      <c r="D36" s="8"/>
      <c r="E36" s="8"/>
      <c r="G36" s="19">
        <v>0.19950000000000001</v>
      </c>
      <c r="I36" s="140">
        <v>45717</v>
      </c>
      <c r="J36" s="8">
        <v>23519.35</v>
      </c>
      <c r="K36" s="8"/>
      <c r="L36" s="8"/>
      <c r="M36" s="8"/>
      <c r="O36" s="19">
        <v>6.3E-2</v>
      </c>
    </row>
    <row r="37" spans="1:15" x14ac:dyDescent="0.35">
      <c r="A37" s="140">
        <v>45748</v>
      </c>
      <c r="B37" s="8">
        <v>4199.8999999999996</v>
      </c>
      <c r="C37" s="8"/>
      <c r="D37" s="8"/>
      <c r="E37" s="8"/>
      <c r="G37" s="19">
        <v>2.86E-2</v>
      </c>
      <c r="I37" s="140">
        <v>45748</v>
      </c>
      <c r="J37" s="8">
        <v>24334.2</v>
      </c>
      <c r="K37" s="8"/>
      <c r="L37" s="8"/>
      <c r="M37" s="8"/>
      <c r="O37" s="19">
        <v>3.4599999999999999E-2</v>
      </c>
    </row>
    <row r="38" spans="1:15" x14ac:dyDescent="0.35">
      <c r="A38" s="140">
        <v>45778</v>
      </c>
      <c r="B38" s="8">
        <v>4002.1</v>
      </c>
      <c r="C38" s="8"/>
      <c r="D38" s="8"/>
      <c r="E38" s="8"/>
      <c r="G38" s="19">
        <v>-4.7100000000000003E-2</v>
      </c>
      <c r="I38" s="140">
        <v>45778</v>
      </c>
      <c r="J38" s="8">
        <v>24750.7</v>
      </c>
      <c r="K38" s="8"/>
      <c r="L38" s="8"/>
      <c r="M38" s="8"/>
      <c r="O38" s="19">
        <v>1.7100000000000001E-2</v>
      </c>
    </row>
    <row r="39" spans="1:15" x14ac:dyDescent="0.35">
      <c r="A39" s="140">
        <v>45809</v>
      </c>
      <c r="B39" s="8">
        <v>4372.3</v>
      </c>
      <c r="C39" s="8"/>
      <c r="D39" s="8"/>
      <c r="E39" s="8"/>
      <c r="G39" s="19">
        <v>9.2499999999999999E-2</v>
      </c>
      <c r="I39" s="140">
        <v>45809</v>
      </c>
      <c r="J39" s="8">
        <v>25517.05</v>
      </c>
      <c r="K39" s="8"/>
      <c r="L39" s="8"/>
      <c r="M39" s="8"/>
      <c r="O39" s="19">
        <v>3.1E-2</v>
      </c>
    </row>
    <row r="40" spans="1:15" x14ac:dyDescent="0.35">
      <c r="A40" s="140">
        <v>45839</v>
      </c>
      <c r="B40" s="8">
        <v>4267.3999999999996</v>
      </c>
      <c r="C40" s="8"/>
      <c r="D40" s="8"/>
      <c r="E40" s="8"/>
      <c r="G40" s="19">
        <v>-2.4E-2</v>
      </c>
      <c r="I40" s="140">
        <v>45839</v>
      </c>
      <c r="J40" s="8">
        <v>24768.35</v>
      </c>
      <c r="K40" s="8"/>
      <c r="L40" s="8"/>
      <c r="M40" s="8"/>
      <c r="O40" s="19">
        <v>-2.93E-2</v>
      </c>
    </row>
    <row r="41" spans="1:15" x14ac:dyDescent="0.35">
      <c r="A41" s="140">
        <v>45870</v>
      </c>
      <c r="B41" s="8">
        <v>4755.6000000000004</v>
      </c>
      <c r="C41" s="8"/>
      <c r="D41" s="8"/>
      <c r="E41" s="8"/>
      <c r="G41" s="19">
        <v>0.1144</v>
      </c>
      <c r="I41" s="140">
        <v>45870</v>
      </c>
      <c r="J41" s="8">
        <v>24426.85</v>
      </c>
      <c r="K41" s="8"/>
      <c r="L41" s="8"/>
      <c r="M41" s="8"/>
      <c r="O41" s="19">
        <v>-1.38E-2</v>
      </c>
    </row>
    <row r="42" spans="1:15" x14ac:dyDescent="0.35">
      <c r="A42" s="140">
        <v>45901</v>
      </c>
      <c r="B42" s="8">
        <v>4475.3999999999996</v>
      </c>
      <c r="C42" s="8"/>
      <c r="D42" s="8"/>
      <c r="E42" s="8"/>
      <c r="G42" s="19">
        <v>-5.8900000000000001E-2</v>
      </c>
      <c r="I42" s="140">
        <v>45901</v>
      </c>
      <c r="J42" s="8">
        <v>24611.1</v>
      </c>
      <c r="K42" s="8"/>
      <c r="L42" s="8"/>
      <c r="M42" s="8"/>
      <c r="O42" s="19">
        <v>7.4999999999999997E-3</v>
      </c>
    </row>
    <row r="43" spans="1:15" x14ac:dyDescent="0.35">
      <c r="A43" s="140">
        <v>45931</v>
      </c>
      <c r="B43" s="8">
        <v>4153.5</v>
      </c>
      <c r="C43" s="8"/>
      <c r="D43" s="8"/>
      <c r="E43" s="8"/>
      <c r="G43" s="19">
        <v>-7.1900000000000006E-2</v>
      </c>
      <c r="I43" s="140">
        <v>45931</v>
      </c>
      <c r="J43" s="8">
        <v>25722.1</v>
      </c>
      <c r="K43" s="8"/>
      <c r="L43" s="8"/>
      <c r="M43" s="8"/>
      <c r="O43" s="19">
        <v>4.5100000000000001E-2</v>
      </c>
    </row>
    <row r="44" spans="1:15" x14ac:dyDescent="0.35">
      <c r="A44" s="140">
        <v>45962</v>
      </c>
      <c r="B44" s="8">
        <v>3996.5</v>
      </c>
      <c r="C44" s="8"/>
      <c r="D44" s="8"/>
      <c r="E44" s="8"/>
      <c r="G44" s="19">
        <v>-3.78E-2</v>
      </c>
      <c r="I44" s="140">
        <v>45962</v>
      </c>
      <c r="J44" s="8">
        <v>26202.95</v>
      </c>
      <c r="K44" s="8"/>
      <c r="L44" s="8"/>
      <c r="M44" s="8"/>
      <c r="O44" s="19">
        <v>1.8700000000000001E-2</v>
      </c>
    </row>
    <row r="45" spans="1:15" x14ac:dyDescent="0.35">
      <c r="A45" s="140">
        <v>45992</v>
      </c>
      <c r="B45" s="8">
        <v>3782.2</v>
      </c>
      <c r="C45" s="8"/>
      <c r="D45" s="8"/>
      <c r="E45" s="8"/>
      <c r="G45" s="19">
        <v>-5.3600000000000002E-2</v>
      </c>
      <c r="I45" s="140">
        <v>45992</v>
      </c>
      <c r="J45" s="8">
        <v>26129.599999999999</v>
      </c>
      <c r="K45" s="8"/>
      <c r="L45" s="8"/>
      <c r="M45" s="8"/>
      <c r="O45" s="19">
        <v>-2.8E-3</v>
      </c>
    </row>
    <row r="46" spans="1:15" x14ac:dyDescent="0.35">
      <c r="A46" s="140">
        <v>46023</v>
      </c>
      <c r="B46" s="8">
        <v>3689.5</v>
      </c>
      <c r="C46" s="8"/>
      <c r="D46" s="8"/>
      <c r="E46" s="8"/>
      <c r="G46" s="19">
        <v>-2.4500000000000001E-2</v>
      </c>
      <c r="I46" s="140">
        <v>46023</v>
      </c>
      <c r="J46" s="8">
        <v>25320.65</v>
      </c>
      <c r="K46" s="8"/>
      <c r="L46" s="8"/>
      <c r="M46" s="8"/>
      <c r="O46" s="19">
        <v>-3.1E-2</v>
      </c>
    </row>
    <row r="47" spans="1:15" x14ac:dyDescent="0.35">
      <c r="A47" s="140">
        <v>46054</v>
      </c>
      <c r="B47" s="8">
        <v>3847.6</v>
      </c>
      <c r="C47" s="8"/>
      <c r="D47" s="8"/>
      <c r="E47" s="8"/>
      <c r="G47" s="19">
        <v>4.2900000000000001E-2</v>
      </c>
      <c r="I47" s="140">
        <v>46054</v>
      </c>
      <c r="J47" s="8">
        <v>25178.65</v>
      </c>
      <c r="K47" s="8"/>
      <c r="L47" s="8"/>
      <c r="M47" s="8"/>
      <c r="O47" s="19">
        <v>-5.5999999999999999E-3</v>
      </c>
    </row>
    <row r="48" spans="1:15" x14ac:dyDescent="0.35">
      <c r="A48" s="140">
        <v>46082</v>
      </c>
      <c r="B48" s="8">
        <v>3956.8</v>
      </c>
      <c r="C48" s="8"/>
      <c r="D48" s="8"/>
      <c r="E48" s="8"/>
      <c r="G48" s="19">
        <v>2.8400000000000002E-2</v>
      </c>
      <c r="I48" s="140">
        <v>46082</v>
      </c>
      <c r="J48" s="8">
        <v>22331.4</v>
      </c>
      <c r="K48" s="8"/>
      <c r="L48" s="8"/>
      <c r="M48" s="8"/>
      <c r="O48" s="19">
        <v>-0.11310000000000001</v>
      </c>
    </row>
    <row r="49" spans="1:15" x14ac:dyDescent="0.35">
      <c r="A49" s="140">
        <v>46113</v>
      </c>
      <c r="B49" s="8">
        <v>4585.8999999999996</v>
      </c>
      <c r="C49" s="8"/>
      <c r="D49" s="8"/>
      <c r="E49" s="8"/>
      <c r="G49" s="19">
        <v>0.159</v>
      </c>
      <c r="I49" s="140">
        <v>46113</v>
      </c>
      <c r="J49" s="8">
        <v>23997.55</v>
      </c>
      <c r="K49" s="8"/>
      <c r="L49" s="8"/>
      <c r="M49" s="8"/>
      <c r="O49" s="19">
        <v>7.46E-2</v>
      </c>
    </row>
    <row r="50" spans="1:15" x14ac:dyDescent="0.35">
      <c r="A50" s="140">
        <v>46143</v>
      </c>
      <c r="B50" s="8">
        <v>4054.5</v>
      </c>
      <c r="C50" s="8"/>
      <c r="D50" s="8"/>
      <c r="E50" s="8"/>
      <c r="G50" s="19">
        <v>-0.1159</v>
      </c>
      <c r="I50" s="140">
        <v>46143</v>
      </c>
      <c r="J50" s="8">
        <v>23547.75</v>
      </c>
      <c r="K50" s="8"/>
      <c r="L50" s="8"/>
      <c r="M50" s="8"/>
      <c r="O50" s="19">
        <v>-1.8700000000000001E-2</v>
      </c>
    </row>
    <row r="51" spans="1:15" x14ac:dyDescent="0.35">
      <c r="A51" s="140">
        <v>46174</v>
      </c>
      <c r="B51" s="8">
        <v>4380.7</v>
      </c>
      <c r="C51" s="8"/>
      <c r="D51" s="8"/>
      <c r="E51" s="8"/>
      <c r="G51" s="19">
        <v>8.0500000000000002E-2</v>
      </c>
      <c r="I51" s="140">
        <v>46174</v>
      </c>
      <c r="J51" s="8">
        <v>23865.75</v>
      </c>
      <c r="K51" s="8"/>
      <c r="L51" s="8"/>
      <c r="M51" s="8"/>
      <c r="O51" s="19">
        <v>1.35E-2</v>
      </c>
    </row>
    <row r="52" spans="1:15" x14ac:dyDescent="0.35">
      <c r="A52" s="140">
        <v>46204</v>
      </c>
      <c r="B52" s="8">
        <v>3921</v>
      </c>
      <c r="C52" s="8"/>
      <c r="D52" s="8"/>
      <c r="E52" s="8"/>
      <c r="G52" s="19">
        <v>-0.10489999999999999</v>
      </c>
      <c r="I52" s="140">
        <v>46204</v>
      </c>
      <c r="J52" s="8">
        <v>24383.599999999999</v>
      </c>
      <c r="K52" s="8"/>
      <c r="L52" s="8"/>
      <c r="M52" s="8"/>
      <c r="O52" s="19">
        <v>2.1700000000000001E-2</v>
      </c>
    </row>
    <row r="53" spans="1:15" x14ac:dyDescent="0.35">
      <c r="A53" s="140">
        <v>46235</v>
      </c>
      <c r="B53" s="8">
        <v>3900</v>
      </c>
      <c r="C53" s="8"/>
      <c r="D53" s="8"/>
      <c r="E53" s="8"/>
      <c r="G53" s="19">
        <v>-5.4000000000000003E-3</v>
      </c>
      <c r="I53" s="140">
        <v>46235</v>
      </c>
      <c r="J53" s="8">
        <v>24080.400000000001</v>
      </c>
      <c r="K53" s="8"/>
      <c r="L53" s="8"/>
      <c r="M53" s="8"/>
      <c r="O53" s="19">
        <v>-1.24E-2</v>
      </c>
    </row>
    <row r="54" spans="1:15" x14ac:dyDescent="0.35">
      <c r="A54" s="140">
        <v>46266</v>
      </c>
      <c r="B54" s="8">
        <v>3801.4</v>
      </c>
      <c r="C54" s="8"/>
      <c r="D54" s="8"/>
      <c r="E54" s="8"/>
      <c r="G54" s="19">
        <v>-2.53E-2</v>
      </c>
      <c r="I54" s="140">
        <v>46266</v>
      </c>
      <c r="J54" s="8">
        <v>22620.45</v>
      </c>
      <c r="K54" s="8"/>
      <c r="L54" s="8"/>
      <c r="M54" s="8"/>
      <c r="O54" s="19">
        <v>-6.0600000000000001E-2</v>
      </c>
    </row>
    <row r="55" spans="1:15" x14ac:dyDescent="0.35">
      <c r="A55" s="140">
        <v>46296</v>
      </c>
      <c r="B55" s="8">
        <v>3304</v>
      </c>
      <c r="C55" s="8"/>
      <c r="D55" s="8"/>
      <c r="E55" s="8"/>
      <c r="G55" s="19">
        <f>(B55-B54)/B55</f>
        <v>-0.15054479418886202</v>
      </c>
      <c r="I55" s="140">
        <v>46296</v>
      </c>
      <c r="J55" s="8">
        <v>23146.15</v>
      </c>
      <c r="K55" s="8"/>
      <c r="L55" s="8"/>
      <c r="M55" s="8"/>
      <c r="O55" s="19">
        <v>2.3199999999999998E-2</v>
      </c>
    </row>
    <row r="56" spans="1:15" x14ac:dyDescent="0.35">
      <c r="A56" s="140"/>
      <c r="B56" s="8"/>
      <c r="C56" s="8"/>
      <c r="D56" s="8"/>
      <c r="E56" s="8"/>
      <c r="G56" s="19"/>
    </row>
    <row r="57" spans="1:15" x14ac:dyDescent="0.35">
      <c r="A57" s="140"/>
      <c r="B57" s="8"/>
      <c r="C57" s="8"/>
      <c r="D57" s="8"/>
      <c r="E57" s="8"/>
      <c r="G57" s="19"/>
    </row>
    <row r="58" spans="1:15" x14ac:dyDescent="0.35">
      <c r="A58" s="140"/>
      <c r="B58" s="8"/>
      <c r="C58" s="8"/>
      <c r="D58" s="8"/>
      <c r="E58" s="8"/>
      <c r="G58" s="19"/>
    </row>
    <row r="59" spans="1:15" x14ac:dyDescent="0.35">
      <c r="A59" s="140"/>
      <c r="B59" s="8"/>
      <c r="C59" s="8"/>
      <c r="D59" s="8"/>
      <c r="E59" s="8"/>
      <c r="G59" s="19"/>
    </row>
    <row r="60" spans="1:15" x14ac:dyDescent="0.35">
      <c r="A60" s="140"/>
      <c r="B60" s="8"/>
      <c r="C60" s="8"/>
      <c r="D60" s="8"/>
      <c r="E60" s="8"/>
      <c r="G60" s="19"/>
    </row>
    <row r="61" spans="1:15" x14ac:dyDescent="0.35">
      <c r="A61" s="140"/>
      <c r="B61" s="8"/>
      <c r="C61" s="8"/>
      <c r="D61" s="8"/>
      <c r="E61" s="8"/>
      <c r="G61" s="19"/>
    </row>
    <row r="62" spans="1:15" x14ac:dyDescent="0.35">
      <c r="A62" s="140"/>
      <c r="B62" s="8"/>
      <c r="C62" s="8"/>
      <c r="D62" s="8"/>
      <c r="E62" s="8"/>
      <c r="G62" s="19"/>
    </row>
    <row r="63" spans="1:15" x14ac:dyDescent="0.35">
      <c r="A63" s="140"/>
      <c r="B63" s="8"/>
      <c r="C63" s="8"/>
      <c r="D63" s="8"/>
      <c r="E63" s="8"/>
      <c r="G63" s="19"/>
    </row>
    <row r="64" spans="1:15" x14ac:dyDescent="0.35">
      <c r="A64" s="140"/>
      <c r="B64" s="8"/>
      <c r="C64" s="8"/>
      <c r="D64" s="8"/>
      <c r="E64" s="8"/>
      <c r="G64" s="19"/>
    </row>
    <row r="65" spans="1:7" x14ac:dyDescent="0.35">
      <c r="A65" s="140"/>
      <c r="B65" s="8"/>
      <c r="C65" s="8"/>
      <c r="D65" s="8"/>
      <c r="E65" s="8"/>
      <c r="G65" s="19"/>
    </row>
    <row r="66" spans="1:7" x14ac:dyDescent="0.35">
      <c r="A66" s="140"/>
      <c r="B66" s="8"/>
      <c r="C66" s="8"/>
      <c r="D66" s="8"/>
      <c r="E66" s="8"/>
      <c r="G66" s="19"/>
    </row>
    <row r="67" spans="1:7" x14ac:dyDescent="0.35">
      <c r="A67" s="140"/>
      <c r="B67" s="8"/>
      <c r="C67" s="8"/>
      <c r="D67" s="8"/>
      <c r="E67" s="8"/>
      <c r="G67" s="19"/>
    </row>
    <row r="68" spans="1:7" x14ac:dyDescent="0.35">
      <c r="A68" s="140"/>
      <c r="B68" s="8"/>
      <c r="C68" s="8"/>
      <c r="D68" s="8"/>
      <c r="E68" s="8"/>
      <c r="G68" s="19"/>
    </row>
    <row r="69" spans="1:7" x14ac:dyDescent="0.35">
      <c r="A69" s="140"/>
      <c r="B69" s="8"/>
      <c r="C69" s="8"/>
      <c r="D69" s="8"/>
      <c r="E69" s="8"/>
      <c r="G69" s="19"/>
    </row>
    <row r="70" spans="1:7" x14ac:dyDescent="0.35">
      <c r="A70" s="140"/>
      <c r="B70" s="8"/>
      <c r="C70" s="8"/>
      <c r="D70" s="8"/>
      <c r="E70" s="8"/>
      <c r="G70" s="19"/>
    </row>
    <row r="71" spans="1:7" x14ac:dyDescent="0.35">
      <c r="A71" s="140"/>
      <c r="B71" s="8"/>
      <c r="C71" s="8"/>
      <c r="D71" s="8"/>
      <c r="E71" s="8"/>
      <c r="G71" s="19"/>
    </row>
    <row r="72" spans="1:7" x14ac:dyDescent="0.35">
      <c r="A72" s="140"/>
      <c r="B72" s="8"/>
      <c r="C72" s="8"/>
      <c r="D72" s="8"/>
      <c r="E72" s="8"/>
      <c r="G72" s="19"/>
    </row>
    <row r="73" spans="1:7" x14ac:dyDescent="0.35">
      <c r="A73" s="140"/>
      <c r="B73" s="8"/>
      <c r="C73" s="8"/>
      <c r="D73" s="8"/>
      <c r="E73" s="8"/>
      <c r="G73" s="19"/>
    </row>
    <row r="74" spans="1:7" x14ac:dyDescent="0.35">
      <c r="A74" s="140"/>
      <c r="B74" s="8"/>
      <c r="C74" s="8"/>
      <c r="D74" s="8"/>
      <c r="E74" s="8"/>
      <c r="G74" s="19"/>
    </row>
    <row r="75" spans="1:7" x14ac:dyDescent="0.35">
      <c r="A75" s="140"/>
      <c r="B75" s="8"/>
      <c r="C75" s="8"/>
      <c r="D75" s="8"/>
      <c r="E75" s="8"/>
      <c r="G75" s="19"/>
    </row>
    <row r="76" spans="1:7" x14ac:dyDescent="0.35">
      <c r="A76" s="140"/>
      <c r="B76" s="8"/>
      <c r="C76" s="8"/>
      <c r="D76" s="8"/>
      <c r="E76" s="8"/>
      <c r="G76" s="19"/>
    </row>
    <row r="77" spans="1:7" x14ac:dyDescent="0.35">
      <c r="A77" s="140"/>
      <c r="B77" s="8"/>
      <c r="C77" s="8"/>
      <c r="D77" s="8"/>
      <c r="E77" s="8"/>
      <c r="G77" s="19"/>
    </row>
    <row r="78" spans="1:7" x14ac:dyDescent="0.35">
      <c r="A78" s="140"/>
      <c r="B78" s="8"/>
      <c r="C78" s="8"/>
      <c r="D78" s="8"/>
      <c r="E78" s="8"/>
      <c r="G78" s="19"/>
    </row>
    <row r="79" spans="1:7" x14ac:dyDescent="0.35">
      <c r="A79" s="140"/>
      <c r="B79" s="8"/>
      <c r="C79" s="8"/>
      <c r="D79" s="8"/>
      <c r="E79" s="8"/>
      <c r="G79" s="19"/>
    </row>
    <row r="80" spans="1:7" x14ac:dyDescent="0.35">
      <c r="A80" s="140"/>
      <c r="B80" s="8"/>
      <c r="C80" s="8"/>
      <c r="D80" s="8"/>
      <c r="E80" s="8"/>
      <c r="G80" s="19"/>
    </row>
    <row r="81" spans="1:7" x14ac:dyDescent="0.35">
      <c r="A81" s="140"/>
      <c r="B81" s="8"/>
      <c r="C81" s="8"/>
      <c r="D81" s="8"/>
      <c r="E81" s="8"/>
      <c r="G81" s="19"/>
    </row>
    <row r="82" spans="1:7" x14ac:dyDescent="0.35">
      <c r="A82" s="140"/>
      <c r="B82" s="8"/>
      <c r="C82" s="8"/>
      <c r="D82" s="8"/>
      <c r="E82" s="8"/>
      <c r="G82" s="19"/>
    </row>
    <row r="83" spans="1:7" x14ac:dyDescent="0.35">
      <c r="A83" s="140"/>
      <c r="B83" s="8"/>
      <c r="C83" s="8"/>
      <c r="D83" s="8"/>
      <c r="E83" s="8"/>
      <c r="G83" s="19"/>
    </row>
    <row r="84" spans="1:7" x14ac:dyDescent="0.35">
      <c r="A84" s="140"/>
      <c r="B84" s="8"/>
      <c r="C84" s="8"/>
      <c r="D84" s="8"/>
      <c r="E84" s="8"/>
      <c r="G84" s="19"/>
    </row>
    <row r="85" spans="1:7" x14ac:dyDescent="0.35">
      <c r="A85" s="140"/>
      <c r="B85" s="8"/>
      <c r="C85" s="8"/>
      <c r="D85" s="8"/>
      <c r="E85" s="8"/>
      <c r="G85" s="19"/>
    </row>
    <row r="86" spans="1:7" x14ac:dyDescent="0.35">
      <c r="A86" s="140"/>
      <c r="B86" s="8"/>
      <c r="C86" s="8"/>
      <c r="D86" s="8"/>
      <c r="E86" s="8"/>
      <c r="G86" s="19"/>
    </row>
    <row r="87" spans="1:7" x14ac:dyDescent="0.35">
      <c r="A87" s="140"/>
      <c r="B87" s="8"/>
      <c r="C87" s="8"/>
      <c r="D87" s="8"/>
      <c r="E87" s="8"/>
      <c r="G87" s="19"/>
    </row>
    <row r="88" spans="1:7" x14ac:dyDescent="0.35">
      <c r="A88" s="140"/>
      <c r="B88" s="8"/>
      <c r="C88" s="8"/>
      <c r="D88" s="8"/>
      <c r="E88" s="8"/>
      <c r="G88" s="19"/>
    </row>
    <row r="89" spans="1:7" x14ac:dyDescent="0.35">
      <c r="A89" s="140"/>
      <c r="B89" s="8"/>
      <c r="C89" s="8"/>
      <c r="D89" s="8"/>
      <c r="E89" s="8"/>
      <c r="G89" s="19"/>
    </row>
    <row r="90" spans="1:7" x14ac:dyDescent="0.35">
      <c r="A90" s="140"/>
      <c r="B90" s="8"/>
      <c r="C90" s="8"/>
      <c r="D90" s="8"/>
      <c r="E90" s="8"/>
      <c r="G90" s="19"/>
    </row>
    <row r="91" spans="1:7" x14ac:dyDescent="0.35">
      <c r="A91" s="140"/>
      <c r="B91" s="8"/>
      <c r="C91" s="8"/>
      <c r="D91" s="8"/>
      <c r="E91" s="8"/>
      <c r="G91" s="19"/>
    </row>
    <row r="92" spans="1:7" x14ac:dyDescent="0.35">
      <c r="A92" s="140"/>
      <c r="B92" s="8"/>
      <c r="C92" s="8"/>
      <c r="D92" s="8"/>
      <c r="E92" s="8"/>
      <c r="G92" s="19"/>
    </row>
    <row r="93" spans="1:7" x14ac:dyDescent="0.35">
      <c r="A93" s="140"/>
      <c r="B93" s="8"/>
      <c r="C93" s="8"/>
      <c r="D93" s="8"/>
      <c r="E93" s="8"/>
      <c r="G93" s="19"/>
    </row>
    <row r="94" spans="1:7" x14ac:dyDescent="0.35">
      <c r="A94" s="140"/>
      <c r="B94" s="8"/>
      <c r="C94" s="8"/>
      <c r="D94" s="8"/>
      <c r="E94" s="8"/>
      <c r="G94" s="19"/>
    </row>
    <row r="95" spans="1:7" x14ac:dyDescent="0.35">
      <c r="A95" s="140"/>
      <c r="B95" s="8"/>
      <c r="C95" s="8"/>
      <c r="D95" s="8"/>
      <c r="E95" s="8"/>
      <c r="G95" s="19"/>
    </row>
    <row r="96" spans="1:7" x14ac:dyDescent="0.35">
      <c r="A96" s="140"/>
      <c r="B96" s="8"/>
      <c r="C96" s="8"/>
      <c r="D96" s="8"/>
      <c r="E96" s="8"/>
      <c r="G96" s="19"/>
    </row>
    <row r="97" spans="1:7" x14ac:dyDescent="0.35">
      <c r="A97" s="140"/>
      <c r="B97" s="8"/>
      <c r="C97" s="8"/>
      <c r="D97" s="8"/>
      <c r="E97" s="8"/>
      <c r="G97" s="19"/>
    </row>
    <row r="98" spans="1:7" x14ac:dyDescent="0.35">
      <c r="A98" s="140"/>
      <c r="B98" s="8"/>
      <c r="C98" s="8"/>
      <c r="D98" s="8"/>
      <c r="E98" s="8"/>
      <c r="G98" s="19"/>
    </row>
    <row r="99" spans="1:7" x14ac:dyDescent="0.35">
      <c r="A99" s="140"/>
      <c r="B99" s="8"/>
      <c r="C99" s="8"/>
      <c r="D99" s="8"/>
      <c r="E99" s="8"/>
      <c r="G99" s="19"/>
    </row>
    <row r="100" spans="1:7" x14ac:dyDescent="0.35">
      <c r="A100" s="140"/>
      <c r="B100" s="8"/>
      <c r="C100" s="8"/>
      <c r="D100" s="8"/>
      <c r="E100" s="8"/>
      <c r="G100" s="19"/>
    </row>
    <row r="101" spans="1:7" x14ac:dyDescent="0.35">
      <c r="A101" s="140"/>
      <c r="B101" s="8"/>
      <c r="C101" s="8"/>
      <c r="D101" s="8"/>
      <c r="E101" s="8"/>
      <c r="G101" s="19"/>
    </row>
    <row r="102" spans="1:7" x14ac:dyDescent="0.35">
      <c r="A102" s="140"/>
      <c r="B102" s="8"/>
      <c r="C102" s="8"/>
      <c r="D102" s="8"/>
      <c r="E102" s="8"/>
      <c r="G102" s="19"/>
    </row>
    <row r="103" spans="1:7" x14ac:dyDescent="0.35">
      <c r="A103" s="140"/>
      <c r="B103" s="8"/>
      <c r="C103" s="8"/>
      <c r="D103" s="8"/>
      <c r="E103" s="8"/>
      <c r="G103" s="19"/>
    </row>
    <row r="104" spans="1:7" x14ac:dyDescent="0.35">
      <c r="A104" s="140"/>
      <c r="B104" s="8"/>
      <c r="C104" s="8"/>
      <c r="D104" s="8"/>
      <c r="E104" s="8"/>
      <c r="G104" s="19"/>
    </row>
    <row r="105" spans="1:7" x14ac:dyDescent="0.35">
      <c r="A105" s="140"/>
      <c r="B105" s="8"/>
      <c r="C105" s="8"/>
      <c r="D105" s="8"/>
      <c r="E105" s="8"/>
      <c r="G105" s="19"/>
    </row>
    <row r="106" spans="1:7" x14ac:dyDescent="0.35">
      <c r="A106" s="140"/>
      <c r="B106" s="8"/>
      <c r="C106" s="8"/>
      <c r="D106" s="8"/>
      <c r="E106" s="8"/>
      <c r="G106" s="19"/>
    </row>
    <row r="107" spans="1:7" x14ac:dyDescent="0.35">
      <c r="A107" s="140"/>
      <c r="B107" s="8"/>
      <c r="C107" s="8"/>
      <c r="D107" s="8"/>
      <c r="E107" s="8"/>
      <c r="G107" s="19"/>
    </row>
    <row r="108" spans="1:7" x14ac:dyDescent="0.35">
      <c r="A108" s="140"/>
      <c r="B108" s="8"/>
      <c r="C108" s="8"/>
      <c r="D108" s="8"/>
      <c r="E108" s="8"/>
      <c r="G108" s="19"/>
    </row>
    <row r="109" spans="1:7" x14ac:dyDescent="0.35">
      <c r="A109" s="140"/>
      <c r="B109" s="8"/>
      <c r="C109" s="8"/>
      <c r="D109" s="8"/>
      <c r="E109" s="8"/>
      <c r="G109" s="19"/>
    </row>
    <row r="110" spans="1:7" x14ac:dyDescent="0.35">
      <c r="A110" s="140"/>
      <c r="B110" s="8"/>
      <c r="C110" s="8"/>
      <c r="D110" s="8"/>
      <c r="E110" s="8"/>
      <c r="G110" s="19"/>
    </row>
    <row r="111" spans="1:7" x14ac:dyDescent="0.35">
      <c r="A111" s="140"/>
      <c r="B111" s="8"/>
      <c r="C111" s="8"/>
      <c r="D111" s="8"/>
      <c r="E111" s="8"/>
      <c r="G111" s="19"/>
    </row>
    <row r="112" spans="1:7" x14ac:dyDescent="0.35">
      <c r="A112" s="140"/>
      <c r="B112" s="8"/>
      <c r="C112" s="8"/>
      <c r="D112" s="8"/>
      <c r="E112" s="8"/>
      <c r="G112" s="19"/>
    </row>
    <row r="113" spans="1:7" x14ac:dyDescent="0.35">
      <c r="A113" s="140"/>
      <c r="B113" s="8"/>
      <c r="C113" s="8"/>
      <c r="D113" s="8"/>
      <c r="E113" s="8"/>
      <c r="G113" s="19"/>
    </row>
    <row r="114" spans="1:7" x14ac:dyDescent="0.35">
      <c r="A114" s="140"/>
      <c r="B114" s="8"/>
      <c r="C114" s="8"/>
      <c r="D114" s="8"/>
      <c r="E114" s="8"/>
      <c r="G114" s="19"/>
    </row>
    <row r="115" spans="1:7" x14ac:dyDescent="0.35">
      <c r="A115" s="140"/>
      <c r="B115" s="8"/>
      <c r="C115" s="8"/>
      <c r="D115" s="8"/>
      <c r="E115" s="8"/>
      <c r="G115" s="19"/>
    </row>
    <row r="116" spans="1:7" x14ac:dyDescent="0.35">
      <c r="A116" s="140"/>
      <c r="B116" s="8"/>
      <c r="C116" s="8"/>
      <c r="D116" s="8"/>
      <c r="E116" s="8"/>
      <c r="G116" s="19"/>
    </row>
    <row r="117" spans="1:7" x14ac:dyDescent="0.35">
      <c r="A117" s="140"/>
      <c r="B117" s="8"/>
      <c r="C117" s="8"/>
      <c r="D117" s="8"/>
      <c r="E117" s="8"/>
      <c r="G117" s="19"/>
    </row>
    <row r="118" spans="1:7" x14ac:dyDescent="0.35">
      <c r="A118" s="140"/>
      <c r="B118" s="8"/>
      <c r="C118" s="8"/>
      <c r="D118" s="8"/>
      <c r="E118" s="8"/>
      <c r="G118" s="19"/>
    </row>
    <row r="119" spans="1:7" x14ac:dyDescent="0.35">
      <c r="A119" s="140"/>
      <c r="B119" s="8"/>
      <c r="C119" s="8"/>
      <c r="D119" s="8"/>
      <c r="E119" s="8"/>
      <c r="G119" s="19"/>
    </row>
    <row r="120" spans="1:7" x14ac:dyDescent="0.35">
      <c r="A120" s="140"/>
      <c r="B120" s="8"/>
      <c r="C120" s="8"/>
      <c r="D120" s="8"/>
      <c r="E120" s="8"/>
      <c r="G120" s="19"/>
    </row>
    <row r="121" spans="1:7" x14ac:dyDescent="0.35">
      <c r="A121" s="140"/>
      <c r="B121" s="8"/>
      <c r="C121" s="8"/>
      <c r="D121" s="8"/>
      <c r="E121" s="8"/>
      <c r="G121" s="19"/>
    </row>
    <row r="122" spans="1:7" x14ac:dyDescent="0.35">
      <c r="A122" s="140"/>
      <c r="B122" s="8"/>
      <c r="C122" s="8"/>
      <c r="D122" s="8"/>
      <c r="E122" s="8"/>
      <c r="G122" s="19"/>
    </row>
    <row r="123" spans="1:7" x14ac:dyDescent="0.35">
      <c r="A123" s="140"/>
      <c r="B123" s="8"/>
      <c r="C123" s="8"/>
      <c r="D123" s="8"/>
      <c r="E123" s="8"/>
      <c r="G123" s="19"/>
    </row>
    <row r="124" spans="1:7" x14ac:dyDescent="0.35">
      <c r="A124" s="140"/>
      <c r="B124" s="8"/>
      <c r="C124" s="8"/>
      <c r="D124" s="8"/>
      <c r="E124" s="8"/>
      <c r="G124" s="19"/>
    </row>
    <row r="125" spans="1:7" x14ac:dyDescent="0.35">
      <c r="A125" s="140"/>
      <c r="B125" s="8"/>
      <c r="C125" s="8"/>
      <c r="D125" s="8"/>
      <c r="E125" s="8"/>
      <c r="G125" s="19"/>
    </row>
    <row r="126" spans="1:7" x14ac:dyDescent="0.35">
      <c r="A126" s="140"/>
      <c r="B126" s="8"/>
      <c r="C126" s="8"/>
      <c r="D126" s="8"/>
      <c r="E126" s="8"/>
      <c r="G126" s="19"/>
    </row>
    <row r="127" spans="1:7" x14ac:dyDescent="0.35">
      <c r="A127" s="140"/>
      <c r="B127" s="8"/>
      <c r="C127" s="8"/>
      <c r="D127" s="8"/>
      <c r="E127" s="8"/>
      <c r="G127" s="19"/>
    </row>
    <row r="128" spans="1:7" x14ac:dyDescent="0.35">
      <c r="A128" s="140"/>
      <c r="B128" s="8"/>
      <c r="C128" s="8"/>
      <c r="D128" s="8"/>
      <c r="E128" s="8"/>
      <c r="G128" s="19"/>
    </row>
    <row r="129" spans="1:7" x14ac:dyDescent="0.35">
      <c r="A129" s="140"/>
      <c r="B129" s="8"/>
      <c r="C129" s="8"/>
      <c r="D129" s="8"/>
      <c r="E129" s="8"/>
      <c r="G129" s="19"/>
    </row>
    <row r="130" spans="1:7" x14ac:dyDescent="0.35">
      <c r="A130" s="140"/>
      <c r="B130" s="8"/>
      <c r="C130" s="8"/>
      <c r="D130" s="8"/>
      <c r="E130" s="8"/>
      <c r="G130" s="19"/>
    </row>
    <row r="131" spans="1:7" x14ac:dyDescent="0.35">
      <c r="A131" s="140"/>
      <c r="B131" s="8"/>
      <c r="C131" s="8"/>
      <c r="D131" s="8"/>
      <c r="E131" s="8"/>
      <c r="G131" s="19"/>
    </row>
    <row r="132" spans="1:7" x14ac:dyDescent="0.35">
      <c r="A132" s="140"/>
      <c r="B132" s="8"/>
      <c r="C132" s="8"/>
      <c r="D132" s="8"/>
      <c r="E132" s="8"/>
      <c r="G132" s="19"/>
    </row>
    <row r="133" spans="1:7" x14ac:dyDescent="0.35">
      <c r="A133" s="140"/>
      <c r="B133" s="8"/>
      <c r="C133" s="8"/>
      <c r="D133" s="8"/>
      <c r="E133" s="8"/>
      <c r="G133" s="19"/>
    </row>
    <row r="134" spans="1:7" x14ac:dyDescent="0.35">
      <c r="A134" s="140"/>
      <c r="B134" s="8"/>
      <c r="C134" s="8"/>
      <c r="D134" s="8"/>
      <c r="E134" s="8"/>
      <c r="G134" s="19"/>
    </row>
    <row r="135" spans="1:7" x14ac:dyDescent="0.35">
      <c r="A135" s="140"/>
      <c r="B135" s="8"/>
      <c r="C135" s="8"/>
      <c r="D135" s="8"/>
      <c r="E135" s="8"/>
      <c r="G135" s="19"/>
    </row>
    <row r="136" spans="1:7" x14ac:dyDescent="0.35">
      <c r="A136" s="140"/>
      <c r="B136" s="8"/>
      <c r="C136" s="8"/>
      <c r="D136" s="8"/>
      <c r="E136" s="8"/>
      <c r="G136" s="19"/>
    </row>
    <row r="137" spans="1:7" x14ac:dyDescent="0.35">
      <c r="A137" s="140"/>
      <c r="B137" s="8"/>
      <c r="C137" s="8"/>
      <c r="D137" s="8"/>
      <c r="E137" s="8"/>
      <c r="G137" s="19"/>
    </row>
    <row r="138" spans="1:7" x14ac:dyDescent="0.35">
      <c r="A138" s="140"/>
      <c r="B138" s="8"/>
      <c r="C138" s="8"/>
      <c r="D138" s="8"/>
      <c r="E138" s="8"/>
      <c r="G138" s="19"/>
    </row>
    <row r="139" spans="1:7" x14ac:dyDescent="0.35">
      <c r="A139" s="140"/>
      <c r="B139" s="8"/>
      <c r="C139" s="8"/>
      <c r="D139" s="8"/>
      <c r="E139" s="8"/>
      <c r="G139" s="19"/>
    </row>
    <row r="140" spans="1:7" x14ac:dyDescent="0.35">
      <c r="A140" s="140"/>
      <c r="B140" s="8"/>
      <c r="C140" s="8"/>
      <c r="D140" s="8"/>
      <c r="E140" s="8"/>
      <c r="G140" s="19"/>
    </row>
    <row r="141" spans="1:7" x14ac:dyDescent="0.35">
      <c r="A141" s="140"/>
      <c r="B141" s="8"/>
      <c r="C141" s="8"/>
      <c r="D141" s="8"/>
      <c r="E141" s="8"/>
      <c r="G141" s="19"/>
    </row>
    <row r="142" spans="1:7" x14ac:dyDescent="0.35">
      <c r="A142" s="140"/>
      <c r="B142" s="8"/>
      <c r="C142" s="8"/>
      <c r="D142" s="8"/>
      <c r="E142" s="8"/>
      <c r="G142" s="19"/>
    </row>
    <row r="143" spans="1:7" x14ac:dyDescent="0.35">
      <c r="A143" s="140"/>
      <c r="B143" s="8"/>
      <c r="C143" s="8"/>
      <c r="D143" s="8"/>
      <c r="E143" s="8"/>
      <c r="G143" s="19"/>
    </row>
    <row r="144" spans="1:7" x14ac:dyDescent="0.35">
      <c r="A144" s="140"/>
      <c r="B144" s="8"/>
      <c r="C144" s="8"/>
      <c r="D144" s="8"/>
      <c r="E144" s="8"/>
      <c r="G144" s="19"/>
    </row>
    <row r="145" spans="1:7" x14ac:dyDescent="0.35">
      <c r="A145" s="140"/>
      <c r="B145" s="8"/>
      <c r="C145" s="8"/>
      <c r="D145" s="8"/>
      <c r="E145" s="8"/>
      <c r="G145" s="19"/>
    </row>
    <row r="146" spans="1:7" x14ac:dyDescent="0.35">
      <c r="A146" s="140"/>
      <c r="B146" s="8"/>
      <c r="C146" s="8"/>
      <c r="D146" s="8"/>
      <c r="E146" s="8"/>
      <c r="G146" s="19"/>
    </row>
    <row r="147" spans="1:7" x14ac:dyDescent="0.35">
      <c r="A147" s="140"/>
      <c r="B147" s="8"/>
      <c r="C147" s="8"/>
      <c r="D147" s="8"/>
      <c r="E147" s="8"/>
      <c r="G147" s="19"/>
    </row>
    <row r="148" spans="1:7" x14ac:dyDescent="0.35">
      <c r="A148" s="140"/>
      <c r="B148" s="8"/>
      <c r="C148" s="8"/>
      <c r="D148" s="8"/>
      <c r="E148" s="8"/>
      <c r="G148" s="19"/>
    </row>
    <row r="149" spans="1:7" x14ac:dyDescent="0.35">
      <c r="A149" s="140"/>
      <c r="B149" s="8"/>
      <c r="C149" s="8"/>
      <c r="D149" s="8"/>
      <c r="E149" s="8"/>
      <c r="G149" s="19"/>
    </row>
    <row r="150" spans="1:7" x14ac:dyDescent="0.35">
      <c r="A150" s="140"/>
      <c r="B150" s="8"/>
      <c r="C150" s="8"/>
      <c r="D150" s="8"/>
      <c r="E150" s="8"/>
      <c r="G150" s="19"/>
    </row>
    <row r="151" spans="1:7" x14ac:dyDescent="0.35">
      <c r="A151" s="140"/>
      <c r="B151" s="8"/>
      <c r="C151" s="8"/>
      <c r="D151" s="8"/>
      <c r="E151" s="8"/>
      <c r="G151" s="19"/>
    </row>
    <row r="152" spans="1:7" x14ac:dyDescent="0.35">
      <c r="A152" s="140"/>
      <c r="B152" s="8"/>
      <c r="C152" s="8"/>
      <c r="D152" s="8"/>
      <c r="E152" s="8"/>
      <c r="G152" s="19"/>
    </row>
    <row r="153" spans="1:7" x14ac:dyDescent="0.35">
      <c r="A153" s="140"/>
      <c r="B153" s="8"/>
      <c r="C153" s="8"/>
      <c r="D153" s="8"/>
      <c r="E153" s="8"/>
      <c r="G153" s="19"/>
    </row>
    <row r="154" spans="1:7" x14ac:dyDescent="0.35">
      <c r="A154" s="140"/>
      <c r="B154" s="8"/>
      <c r="C154" s="8"/>
      <c r="D154" s="8"/>
      <c r="E154" s="8"/>
      <c r="G154" s="19"/>
    </row>
    <row r="155" spans="1:7" x14ac:dyDescent="0.35">
      <c r="A155" s="140"/>
      <c r="B155" s="8"/>
      <c r="C155" s="8"/>
      <c r="D155" s="8"/>
      <c r="E155" s="8"/>
      <c r="G155" s="19"/>
    </row>
    <row r="156" spans="1:7" x14ac:dyDescent="0.35">
      <c r="A156" s="140"/>
      <c r="B156" s="8"/>
      <c r="C156" s="8"/>
      <c r="D156" s="8"/>
      <c r="E156" s="8"/>
      <c r="G156" s="19"/>
    </row>
    <row r="157" spans="1:7" x14ac:dyDescent="0.35">
      <c r="A157" s="140"/>
      <c r="B157" s="8"/>
      <c r="C157" s="8"/>
      <c r="D157" s="8"/>
      <c r="E157" s="8"/>
      <c r="G157" s="19"/>
    </row>
    <row r="158" spans="1:7" x14ac:dyDescent="0.35">
      <c r="A158" s="140"/>
      <c r="B158" s="8"/>
      <c r="C158" s="8"/>
      <c r="D158" s="8"/>
      <c r="E158" s="8"/>
      <c r="G158" s="19"/>
    </row>
    <row r="159" spans="1:7" x14ac:dyDescent="0.35">
      <c r="A159" s="140"/>
      <c r="B159" s="8"/>
      <c r="C159" s="8"/>
      <c r="D159" s="8"/>
      <c r="E159" s="8"/>
      <c r="G159" s="19"/>
    </row>
    <row r="160" spans="1:7" x14ac:dyDescent="0.35">
      <c r="A160" s="140"/>
      <c r="B160" s="8"/>
      <c r="C160" s="8"/>
      <c r="D160" s="8"/>
      <c r="E160" s="8"/>
      <c r="G160" s="19"/>
    </row>
    <row r="161" spans="1:7" x14ac:dyDescent="0.35">
      <c r="A161" s="140"/>
      <c r="B161" s="8"/>
      <c r="C161" s="8"/>
      <c r="D161" s="8"/>
      <c r="E161" s="8"/>
      <c r="G161" s="19"/>
    </row>
    <row r="162" spans="1:7" x14ac:dyDescent="0.35">
      <c r="A162" s="140"/>
      <c r="B162" s="8"/>
      <c r="C162" s="8"/>
      <c r="D162" s="8"/>
      <c r="E162" s="8"/>
      <c r="G162" s="19"/>
    </row>
    <row r="163" spans="1:7" x14ac:dyDescent="0.35">
      <c r="A163" s="140"/>
      <c r="B163" s="8"/>
      <c r="C163" s="8"/>
      <c r="D163" s="8"/>
      <c r="E163" s="8"/>
      <c r="G163" s="19"/>
    </row>
    <row r="164" spans="1:7" x14ac:dyDescent="0.35">
      <c r="A164" s="140"/>
      <c r="B164" s="8"/>
      <c r="C164" s="8"/>
      <c r="D164" s="8"/>
      <c r="E164" s="8"/>
      <c r="G164" s="19"/>
    </row>
    <row r="165" spans="1:7" x14ac:dyDescent="0.35">
      <c r="A165" s="140"/>
      <c r="B165" s="8"/>
      <c r="C165" s="8"/>
      <c r="D165" s="8"/>
      <c r="E165" s="8"/>
      <c r="G165" s="19"/>
    </row>
    <row r="166" spans="1:7" x14ac:dyDescent="0.35">
      <c r="A166" s="140"/>
      <c r="B166" s="8"/>
      <c r="C166" s="8"/>
      <c r="D166" s="8"/>
      <c r="E166" s="8"/>
      <c r="G166" s="19"/>
    </row>
    <row r="167" spans="1:7" x14ac:dyDescent="0.35">
      <c r="A167" s="140"/>
      <c r="B167" s="8"/>
      <c r="C167" s="8"/>
      <c r="D167" s="8"/>
      <c r="E167" s="8"/>
      <c r="G167" s="19"/>
    </row>
    <row r="168" spans="1:7" x14ac:dyDescent="0.35">
      <c r="A168" s="140"/>
      <c r="B168" s="8"/>
      <c r="C168" s="8"/>
      <c r="D168" s="8"/>
      <c r="E168" s="8"/>
      <c r="G168" s="19"/>
    </row>
    <row r="169" spans="1:7" x14ac:dyDescent="0.35">
      <c r="A169" s="140"/>
      <c r="B169" s="8"/>
      <c r="C169" s="8"/>
      <c r="D169" s="8"/>
      <c r="E169" s="8"/>
      <c r="G169" s="19"/>
    </row>
    <row r="170" spans="1:7" x14ac:dyDescent="0.35">
      <c r="A170" s="140"/>
      <c r="B170" s="8"/>
      <c r="C170" s="8"/>
      <c r="D170" s="8"/>
      <c r="E170" s="8"/>
      <c r="G170" s="19"/>
    </row>
    <row r="171" spans="1:7" x14ac:dyDescent="0.35">
      <c r="A171" s="140"/>
      <c r="B171" s="8"/>
      <c r="C171" s="8"/>
      <c r="D171" s="8"/>
      <c r="E171" s="8"/>
      <c r="G171" s="19"/>
    </row>
    <row r="172" spans="1:7" x14ac:dyDescent="0.35">
      <c r="A172" s="140"/>
      <c r="B172" s="8"/>
      <c r="C172" s="8"/>
      <c r="D172" s="8"/>
      <c r="E172" s="8"/>
      <c r="G172" s="19"/>
    </row>
    <row r="173" spans="1:7" x14ac:dyDescent="0.35">
      <c r="A173" s="140"/>
      <c r="B173" s="8"/>
      <c r="C173" s="8"/>
      <c r="D173" s="8"/>
      <c r="E173" s="8"/>
      <c r="G173" s="19"/>
    </row>
    <row r="174" spans="1:7" x14ac:dyDescent="0.35">
      <c r="A174" s="140"/>
      <c r="B174" s="8"/>
      <c r="C174" s="8"/>
      <c r="D174" s="8"/>
      <c r="E174" s="8"/>
      <c r="G174" s="19"/>
    </row>
    <row r="175" spans="1:7" x14ac:dyDescent="0.35">
      <c r="A175" s="140"/>
      <c r="B175" s="8"/>
      <c r="C175" s="8"/>
      <c r="D175" s="8"/>
      <c r="E175" s="8"/>
      <c r="G175" s="19"/>
    </row>
    <row r="176" spans="1:7" x14ac:dyDescent="0.35">
      <c r="A176" s="140"/>
      <c r="B176" s="8"/>
      <c r="C176" s="8"/>
      <c r="D176" s="8"/>
      <c r="E176" s="8"/>
      <c r="G176" s="19"/>
    </row>
    <row r="177" spans="1:7" x14ac:dyDescent="0.35">
      <c r="A177" s="140"/>
      <c r="B177" s="8"/>
      <c r="C177" s="8"/>
      <c r="D177" s="8"/>
      <c r="E177" s="8"/>
      <c r="G177" s="19"/>
    </row>
    <row r="178" spans="1:7" x14ac:dyDescent="0.35">
      <c r="A178" s="140"/>
      <c r="B178" s="8"/>
      <c r="C178" s="8"/>
      <c r="D178" s="8"/>
      <c r="E178" s="8"/>
      <c r="G178" s="19"/>
    </row>
    <row r="179" spans="1:7" x14ac:dyDescent="0.35">
      <c r="A179" s="140"/>
      <c r="B179" s="8"/>
      <c r="C179" s="8"/>
      <c r="D179" s="8"/>
      <c r="E179" s="8"/>
      <c r="G179" s="19"/>
    </row>
    <row r="180" spans="1:7" x14ac:dyDescent="0.35">
      <c r="A180" s="140"/>
      <c r="B180" s="8"/>
      <c r="C180" s="8"/>
      <c r="D180" s="8"/>
      <c r="E180" s="8"/>
      <c r="G180" s="19"/>
    </row>
    <row r="181" spans="1:7" x14ac:dyDescent="0.35">
      <c r="A181" s="140"/>
      <c r="B181" s="8"/>
      <c r="C181" s="8"/>
      <c r="D181" s="8"/>
      <c r="E181" s="8"/>
      <c r="G181" s="19"/>
    </row>
    <row r="182" spans="1:7" x14ac:dyDescent="0.35">
      <c r="A182" s="140"/>
      <c r="B182" s="8"/>
      <c r="C182" s="8"/>
      <c r="D182" s="8"/>
      <c r="E182" s="8"/>
      <c r="G182" s="19"/>
    </row>
    <row r="183" spans="1:7" x14ac:dyDescent="0.35">
      <c r="A183" s="140"/>
      <c r="B183" s="8"/>
      <c r="C183" s="8"/>
      <c r="D183" s="8"/>
      <c r="E183" s="8"/>
      <c r="G183" s="19"/>
    </row>
    <row r="184" spans="1:7" x14ac:dyDescent="0.35">
      <c r="A184" s="140"/>
      <c r="B184" s="8"/>
      <c r="C184" s="8"/>
      <c r="D184" s="8"/>
      <c r="E184" s="8"/>
      <c r="G184" s="19"/>
    </row>
    <row r="185" spans="1:7" x14ac:dyDescent="0.35">
      <c r="A185" s="140"/>
      <c r="B185" s="8"/>
      <c r="C185" s="8"/>
      <c r="D185" s="8"/>
      <c r="E185" s="8"/>
      <c r="G185" s="19"/>
    </row>
    <row r="186" spans="1:7" x14ac:dyDescent="0.35">
      <c r="A186" s="140"/>
      <c r="B186" s="8"/>
      <c r="C186" s="8"/>
      <c r="D186" s="8"/>
      <c r="E186" s="8"/>
      <c r="G186" s="19"/>
    </row>
    <row r="187" spans="1:7" x14ac:dyDescent="0.35">
      <c r="A187" s="140"/>
      <c r="B187" s="8"/>
      <c r="C187" s="8"/>
      <c r="D187" s="8"/>
      <c r="E187" s="8"/>
      <c r="G187" s="19"/>
    </row>
    <row r="188" spans="1:7" x14ac:dyDescent="0.35">
      <c r="A188" s="140"/>
      <c r="B188" s="8"/>
      <c r="C188" s="8"/>
      <c r="D188" s="8"/>
      <c r="E188" s="8"/>
      <c r="G188" s="19"/>
    </row>
    <row r="189" spans="1:7" x14ac:dyDescent="0.35">
      <c r="A189" s="140"/>
      <c r="B189" s="8"/>
      <c r="C189" s="8"/>
      <c r="D189" s="8"/>
      <c r="E189" s="8"/>
      <c r="G189" s="19"/>
    </row>
    <row r="190" spans="1:7" x14ac:dyDescent="0.35">
      <c r="A190" s="140"/>
      <c r="B190" s="8"/>
      <c r="C190" s="8"/>
      <c r="D190" s="8"/>
      <c r="E190" s="8"/>
      <c r="G190" s="19"/>
    </row>
    <row r="191" spans="1:7" x14ac:dyDescent="0.35">
      <c r="A191" s="140"/>
      <c r="B191" s="8"/>
      <c r="C191" s="8"/>
      <c r="D191" s="8"/>
      <c r="E191" s="8"/>
      <c r="G191" s="19"/>
    </row>
    <row r="192" spans="1:7" x14ac:dyDescent="0.35">
      <c r="A192" s="140"/>
      <c r="B192" s="8"/>
      <c r="C192" s="8"/>
      <c r="D192" s="8"/>
      <c r="E192" s="8"/>
      <c r="G192" s="19"/>
    </row>
    <row r="193" spans="1:7" x14ac:dyDescent="0.35">
      <c r="A193" s="140"/>
      <c r="B193" s="8"/>
      <c r="C193" s="8"/>
      <c r="D193" s="8"/>
      <c r="E193" s="8"/>
      <c r="G193" s="19"/>
    </row>
    <row r="194" spans="1:7" x14ac:dyDescent="0.35">
      <c r="A194" s="140"/>
      <c r="B194" s="8"/>
      <c r="C194" s="8"/>
      <c r="D194" s="8"/>
      <c r="E194" s="8"/>
      <c r="G194" s="19"/>
    </row>
    <row r="195" spans="1:7" x14ac:dyDescent="0.35">
      <c r="A195" s="140"/>
      <c r="B195" s="8"/>
      <c r="C195" s="8"/>
      <c r="D195" s="8"/>
      <c r="E195" s="8"/>
      <c r="G195" s="19"/>
    </row>
    <row r="196" spans="1:7" x14ac:dyDescent="0.35">
      <c r="A196" s="140"/>
      <c r="B196" s="8"/>
      <c r="C196" s="8"/>
      <c r="D196" s="8"/>
      <c r="E196" s="8"/>
      <c r="G196" s="19"/>
    </row>
    <row r="197" spans="1:7" x14ac:dyDescent="0.35">
      <c r="A197" s="140"/>
      <c r="B197" s="8"/>
      <c r="C197" s="8"/>
      <c r="D197" s="8"/>
      <c r="E197" s="8"/>
      <c r="G197" s="19"/>
    </row>
    <row r="198" spans="1:7" x14ac:dyDescent="0.35">
      <c r="A198" s="140"/>
      <c r="B198" s="8"/>
      <c r="C198" s="8"/>
      <c r="D198" s="8"/>
      <c r="E198" s="8"/>
      <c r="G198" s="19"/>
    </row>
    <row r="199" spans="1:7" x14ac:dyDescent="0.35">
      <c r="A199" s="140"/>
      <c r="B199" s="8"/>
      <c r="C199" s="8"/>
      <c r="D199" s="8"/>
      <c r="E199" s="8"/>
      <c r="G199" s="19"/>
    </row>
    <row r="200" spans="1:7" x14ac:dyDescent="0.35">
      <c r="A200" s="140"/>
      <c r="B200" s="8"/>
      <c r="C200" s="8"/>
      <c r="D200" s="8"/>
      <c r="E200" s="8"/>
      <c r="G200" s="19"/>
    </row>
    <row r="201" spans="1:7" x14ac:dyDescent="0.35">
      <c r="A201" s="140"/>
      <c r="B201" s="8"/>
      <c r="C201" s="8"/>
      <c r="D201" s="8"/>
      <c r="E201" s="8"/>
      <c r="G201" s="19"/>
    </row>
    <row r="202" spans="1:7" x14ac:dyDescent="0.35">
      <c r="A202" s="140"/>
      <c r="B202" s="8"/>
      <c r="C202" s="8"/>
      <c r="D202" s="8"/>
      <c r="E202" s="8"/>
      <c r="G202" s="19"/>
    </row>
    <row r="203" spans="1:7" x14ac:dyDescent="0.35">
      <c r="A203" s="140"/>
      <c r="B203" s="8"/>
      <c r="C203" s="8"/>
      <c r="D203" s="8"/>
      <c r="E203" s="8"/>
      <c r="G203" s="19"/>
    </row>
    <row r="204" spans="1:7" x14ac:dyDescent="0.35">
      <c r="A204" s="140"/>
      <c r="B204" s="8"/>
      <c r="C204" s="8"/>
      <c r="D204" s="8"/>
      <c r="E204" s="8"/>
      <c r="G204" s="19"/>
    </row>
    <row r="205" spans="1:7" x14ac:dyDescent="0.35">
      <c r="A205" s="140"/>
      <c r="B205" s="8"/>
      <c r="C205" s="8"/>
      <c r="D205" s="8"/>
      <c r="E205" s="8"/>
      <c r="G205" s="19"/>
    </row>
    <row r="206" spans="1:7" x14ac:dyDescent="0.35">
      <c r="A206" s="140"/>
      <c r="B206" s="8"/>
      <c r="C206" s="8"/>
      <c r="D206" s="8"/>
      <c r="E206" s="8"/>
      <c r="G206" s="19"/>
    </row>
    <row r="207" spans="1:7" x14ac:dyDescent="0.35">
      <c r="A207" s="140"/>
      <c r="B207" s="8"/>
      <c r="C207" s="8"/>
      <c r="D207" s="8"/>
      <c r="E207" s="8"/>
      <c r="G207" s="19"/>
    </row>
    <row r="208" spans="1:7" x14ac:dyDescent="0.35">
      <c r="A208" s="140"/>
      <c r="B208" s="8"/>
      <c r="C208" s="8"/>
      <c r="D208" s="8"/>
      <c r="E208" s="8"/>
      <c r="G208" s="19"/>
    </row>
    <row r="209" spans="1:7" x14ac:dyDescent="0.35">
      <c r="A209" s="140"/>
      <c r="B209" s="8"/>
      <c r="C209" s="8"/>
      <c r="D209" s="8"/>
      <c r="E209" s="8"/>
      <c r="G209" s="19"/>
    </row>
    <row r="210" spans="1:7" x14ac:dyDescent="0.35">
      <c r="A210" s="140"/>
      <c r="B210" s="8"/>
      <c r="C210" s="8"/>
      <c r="D210" s="8"/>
      <c r="E210" s="8"/>
      <c r="G210" s="19"/>
    </row>
    <row r="211" spans="1:7" x14ac:dyDescent="0.35">
      <c r="A211" s="140"/>
      <c r="B211" s="8"/>
      <c r="C211" s="8"/>
      <c r="D211" s="8"/>
      <c r="E211" s="8"/>
      <c r="G211" s="19"/>
    </row>
    <row r="212" spans="1:7" x14ac:dyDescent="0.35">
      <c r="A212" s="140"/>
      <c r="B212" s="8"/>
      <c r="C212" s="8"/>
      <c r="D212" s="8"/>
      <c r="E212" s="8"/>
      <c r="G212" s="19"/>
    </row>
    <row r="213" spans="1:7" x14ac:dyDescent="0.35">
      <c r="A213" s="140"/>
      <c r="B213" s="8"/>
      <c r="C213" s="8"/>
      <c r="D213" s="8"/>
      <c r="E213" s="8"/>
      <c r="G213" s="19"/>
    </row>
    <row r="214" spans="1:7" x14ac:dyDescent="0.35">
      <c r="A214" s="140"/>
      <c r="B214" s="8"/>
      <c r="C214" s="8"/>
      <c r="D214" s="8"/>
      <c r="E214" s="8"/>
      <c r="G214" s="19"/>
    </row>
    <row r="215" spans="1:7" x14ac:dyDescent="0.35">
      <c r="A215" s="140"/>
      <c r="B215" s="8"/>
      <c r="C215" s="8"/>
      <c r="D215" s="8"/>
      <c r="E215" s="8"/>
      <c r="G215" s="19"/>
    </row>
    <row r="216" spans="1:7" x14ac:dyDescent="0.35">
      <c r="A216" s="140"/>
      <c r="B216" s="8"/>
      <c r="C216" s="8"/>
      <c r="D216" s="8"/>
      <c r="E216" s="8"/>
      <c r="G216" s="19"/>
    </row>
    <row r="217" spans="1:7" x14ac:dyDescent="0.35">
      <c r="A217" s="140"/>
      <c r="B217" s="8"/>
      <c r="C217" s="8"/>
      <c r="D217" s="8"/>
      <c r="E217" s="8"/>
      <c r="G217" s="19"/>
    </row>
    <row r="218" spans="1:7" x14ac:dyDescent="0.35">
      <c r="A218" s="140"/>
      <c r="B218" s="8"/>
      <c r="C218" s="8"/>
      <c r="D218" s="8"/>
      <c r="E218" s="8"/>
      <c r="G218" s="19"/>
    </row>
    <row r="219" spans="1:7" x14ac:dyDescent="0.35">
      <c r="A219" s="140"/>
      <c r="B219" s="8"/>
      <c r="C219" s="8"/>
      <c r="D219" s="8"/>
      <c r="E219" s="8"/>
      <c r="G219" s="19"/>
    </row>
    <row r="220" spans="1:7" x14ac:dyDescent="0.35">
      <c r="A220" s="140"/>
      <c r="B220" s="8"/>
      <c r="C220" s="8"/>
      <c r="D220" s="8"/>
      <c r="E220" s="8"/>
      <c r="G220" s="19"/>
    </row>
    <row r="221" spans="1:7" x14ac:dyDescent="0.35">
      <c r="A221" s="140"/>
      <c r="B221" s="8"/>
      <c r="C221" s="8"/>
      <c r="D221" s="8"/>
      <c r="E221" s="8"/>
      <c r="G221" s="19"/>
    </row>
    <row r="222" spans="1:7" x14ac:dyDescent="0.35">
      <c r="A222" s="140"/>
      <c r="B222" s="8"/>
      <c r="C222" s="8"/>
      <c r="D222" s="8"/>
      <c r="E222" s="8"/>
      <c r="G222" s="19"/>
    </row>
    <row r="223" spans="1:7" x14ac:dyDescent="0.35">
      <c r="A223" s="140"/>
      <c r="B223" s="8"/>
      <c r="C223" s="8"/>
      <c r="D223" s="8"/>
      <c r="E223" s="8"/>
      <c r="G223" s="19"/>
    </row>
    <row r="224" spans="1:7" x14ac:dyDescent="0.35">
      <c r="A224" s="140"/>
      <c r="B224" s="8"/>
      <c r="C224" s="8"/>
      <c r="D224" s="8"/>
      <c r="E224" s="8"/>
      <c r="G224" s="19"/>
    </row>
    <row r="225" spans="1:7" x14ac:dyDescent="0.35">
      <c r="A225" s="140"/>
      <c r="B225" s="8"/>
      <c r="C225" s="8"/>
      <c r="D225" s="8"/>
      <c r="E225" s="8"/>
      <c r="G225" s="19"/>
    </row>
    <row r="226" spans="1:7" x14ac:dyDescent="0.35">
      <c r="A226" s="140"/>
      <c r="B226" s="8"/>
      <c r="C226" s="8"/>
      <c r="D226" s="8"/>
      <c r="E226" s="8"/>
      <c r="G226" s="19"/>
    </row>
    <row r="227" spans="1:7" x14ac:dyDescent="0.35">
      <c r="A227" s="140"/>
      <c r="B227" s="8"/>
      <c r="C227" s="8"/>
      <c r="D227" s="8"/>
      <c r="E227" s="8"/>
      <c r="G227" s="19"/>
    </row>
    <row r="228" spans="1:7" x14ac:dyDescent="0.35">
      <c r="A228" s="140"/>
      <c r="B228" s="8"/>
      <c r="C228" s="8"/>
      <c r="D228" s="8"/>
      <c r="E228" s="8"/>
      <c r="G228" s="19"/>
    </row>
    <row r="229" spans="1:7" x14ac:dyDescent="0.35">
      <c r="A229" s="140"/>
      <c r="B229" s="8"/>
      <c r="C229" s="8"/>
      <c r="D229" s="8"/>
      <c r="E229" s="8"/>
      <c r="G229" s="19"/>
    </row>
    <row r="230" spans="1:7" x14ac:dyDescent="0.35">
      <c r="A230" s="140"/>
      <c r="B230" s="8"/>
      <c r="C230" s="8"/>
      <c r="D230" s="8"/>
      <c r="E230" s="8"/>
      <c r="G230" s="19"/>
    </row>
    <row r="231" spans="1:7" x14ac:dyDescent="0.35">
      <c r="A231" s="140"/>
      <c r="B231" s="8"/>
      <c r="C231" s="8"/>
      <c r="D231" s="8"/>
      <c r="E231" s="8"/>
      <c r="G231" s="19"/>
    </row>
    <row r="232" spans="1:7" x14ac:dyDescent="0.35">
      <c r="A232" s="140"/>
      <c r="B232" s="8"/>
      <c r="C232" s="8"/>
      <c r="D232" s="8"/>
      <c r="E232" s="8"/>
      <c r="G232" s="19"/>
    </row>
    <row r="233" spans="1:7" x14ac:dyDescent="0.35">
      <c r="A233" s="140"/>
      <c r="B233" s="8"/>
      <c r="C233" s="8"/>
      <c r="D233" s="8"/>
      <c r="E233" s="8"/>
      <c r="G233" s="19"/>
    </row>
    <row r="234" spans="1:7" x14ac:dyDescent="0.35">
      <c r="A234" s="140"/>
      <c r="B234" s="8"/>
      <c r="C234" s="8"/>
      <c r="D234" s="8"/>
      <c r="E234" s="8"/>
      <c r="G234" s="19"/>
    </row>
    <row r="235" spans="1:7" x14ac:dyDescent="0.35">
      <c r="A235" s="140"/>
      <c r="B235" s="8"/>
      <c r="C235" s="8"/>
      <c r="D235" s="8"/>
      <c r="E235" s="8"/>
      <c r="G235" s="19"/>
    </row>
    <row r="236" spans="1:7" x14ac:dyDescent="0.35">
      <c r="A236" s="140"/>
      <c r="B236" s="8"/>
      <c r="C236" s="8"/>
      <c r="D236" s="8"/>
      <c r="E236" s="8"/>
      <c r="G236" s="19"/>
    </row>
    <row r="237" spans="1:7" x14ac:dyDescent="0.35">
      <c r="A237" s="140"/>
      <c r="B237" s="8"/>
      <c r="C237" s="8"/>
      <c r="D237" s="8"/>
      <c r="E237" s="8"/>
      <c r="G237" s="19"/>
    </row>
    <row r="238" spans="1:7" x14ac:dyDescent="0.35">
      <c r="A238" s="140"/>
      <c r="B238" s="8"/>
      <c r="C238" s="8"/>
      <c r="D238" s="8"/>
      <c r="E238" s="8"/>
      <c r="G238" s="19"/>
    </row>
    <row r="239" spans="1:7" x14ac:dyDescent="0.35">
      <c r="A239" s="140"/>
      <c r="B239" s="8"/>
      <c r="C239" s="8"/>
      <c r="D239" s="8"/>
      <c r="E239" s="8"/>
      <c r="G239" s="19"/>
    </row>
    <row r="240" spans="1:7" x14ac:dyDescent="0.35">
      <c r="A240" s="140"/>
      <c r="B240" s="8"/>
      <c r="C240" s="8"/>
      <c r="D240" s="8"/>
      <c r="E240" s="8"/>
      <c r="G240" s="19"/>
    </row>
    <row r="241" spans="1:7" x14ac:dyDescent="0.35">
      <c r="A241" s="140"/>
      <c r="B241" s="8"/>
      <c r="C241" s="8"/>
      <c r="D241" s="8"/>
      <c r="E241" s="8"/>
      <c r="G241" s="19"/>
    </row>
    <row r="242" spans="1:7" x14ac:dyDescent="0.35">
      <c r="A242" s="140"/>
      <c r="B242" s="8"/>
      <c r="C242" s="8"/>
      <c r="D242" s="8"/>
      <c r="E242" s="8"/>
      <c r="G242" s="19"/>
    </row>
    <row r="243" spans="1:7" x14ac:dyDescent="0.35">
      <c r="A243" s="140"/>
      <c r="B243" s="8"/>
      <c r="C243" s="8"/>
      <c r="D243" s="8"/>
      <c r="E243" s="8"/>
      <c r="G243" s="19"/>
    </row>
    <row r="244" spans="1:7" x14ac:dyDescent="0.35">
      <c r="A244" s="140"/>
      <c r="B244" s="8"/>
      <c r="C244" s="8"/>
      <c r="D244" s="8"/>
      <c r="E244" s="8"/>
      <c r="G244" s="19"/>
    </row>
    <row r="245" spans="1:7" x14ac:dyDescent="0.35">
      <c r="A245" s="140"/>
      <c r="B245" s="8"/>
      <c r="C245" s="8"/>
      <c r="D245" s="8"/>
      <c r="E245" s="8"/>
      <c r="G245" s="19"/>
    </row>
    <row r="246" spans="1:7" x14ac:dyDescent="0.35">
      <c r="A246" s="140"/>
      <c r="B246" s="8"/>
      <c r="C246" s="8"/>
      <c r="D246" s="8"/>
      <c r="E246" s="8"/>
      <c r="G246" s="19"/>
    </row>
    <row r="247" spans="1:7" x14ac:dyDescent="0.35">
      <c r="A247" s="140"/>
      <c r="B247" s="8"/>
      <c r="C247" s="8"/>
      <c r="D247" s="8"/>
      <c r="E247" s="8"/>
      <c r="G247" s="19"/>
    </row>
    <row r="248" spans="1:7" x14ac:dyDescent="0.35">
      <c r="A248" s="140"/>
      <c r="B248" s="8"/>
      <c r="C248" s="8"/>
      <c r="D248" s="8"/>
      <c r="E248" s="8"/>
      <c r="G248" s="19"/>
    </row>
    <row r="249" spans="1:7" x14ac:dyDescent="0.35">
      <c r="A249" s="140"/>
      <c r="B249" s="8"/>
      <c r="C249" s="8"/>
      <c r="D249" s="8"/>
      <c r="E249" s="8"/>
      <c r="G249" s="19"/>
    </row>
    <row r="250" spans="1:7" x14ac:dyDescent="0.35">
      <c r="A250" s="140"/>
      <c r="B250" s="8"/>
      <c r="C250" s="8"/>
      <c r="D250" s="8"/>
      <c r="E250" s="8"/>
      <c r="G250" s="19"/>
    </row>
    <row r="251" spans="1:7" x14ac:dyDescent="0.35">
      <c r="A251" s="140"/>
      <c r="B251" s="8"/>
      <c r="C251" s="8"/>
      <c r="D251" s="8"/>
      <c r="E251" s="8"/>
      <c r="G251" s="19"/>
    </row>
    <row r="252" spans="1:7" x14ac:dyDescent="0.35">
      <c r="A252" s="140"/>
      <c r="B252" s="8"/>
      <c r="C252" s="8"/>
      <c r="D252" s="8"/>
      <c r="E252" s="8"/>
      <c r="G252" s="19"/>
    </row>
    <row r="253" spans="1:7" x14ac:dyDescent="0.35">
      <c r="A253" s="140"/>
      <c r="B253" s="8"/>
      <c r="C253" s="8"/>
      <c r="D253" s="8"/>
      <c r="E253" s="8"/>
      <c r="G253" s="19"/>
    </row>
    <row r="254" spans="1:7" x14ac:dyDescent="0.35">
      <c r="A254" s="140"/>
      <c r="B254" s="8"/>
      <c r="C254" s="8"/>
      <c r="D254" s="8"/>
      <c r="E254" s="8"/>
      <c r="G254" s="19"/>
    </row>
    <row r="255" spans="1:7" x14ac:dyDescent="0.35">
      <c r="A255" s="140"/>
      <c r="B255" s="8"/>
      <c r="C255" s="8"/>
      <c r="D255" s="8"/>
      <c r="E255" s="8"/>
      <c r="G255" s="19"/>
    </row>
    <row r="256" spans="1:7" x14ac:dyDescent="0.35">
      <c r="A256" s="140"/>
      <c r="B256" s="8"/>
      <c r="C256" s="8"/>
      <c r="D256" s="8"/>
      <c r="E256" s="8"/>
      <c r="G256" s="19"/>
    </row>
    <row r="257" spans="1:7" x14ac:dyDescent="0.35">
      <c r="A257" s="140"/>
      <c r="B257" s="8"/>
      <c r="C257" s="8"/>
      <c r="D257" s="8"/>
      <c r="E257" s="8"/>
      <c r="G257" s="19"/>
    </row>
    <row r="258" spans="1:7" x14ac:dyDescent="0.35">
      <c r="A258" s="140"/>
      <c r="B258" s="8"/>
      <c r="C258" s="8"/>
      <c r="D258" s="8"/>
      <c r="E258" s="8"/>
      <c r="G258" s="19"/>
    </row>
    <row r="259" spans="1:7" x14ac:dyDescent="0.35">
      <c r="A259" s="140"/>
      <c r="B259" s="8"/>
      <c r="C259" s="8"/>
      <c r="D259" s="8"/>
      <c r="E259" s="8"/>
      <c r="G259" s="19"/>
    </row>
    <row r="260" spans="1:7" x14ac:dyDescent="0.35">
      <c r="A260" s="140"/>
      <c r="B260" s="8"/>
      <c r="C260" s="8"/>
      <c r="D260" s="8"/>
      <c r="E260" s="8"/>
      <c r="G260" s="19"/>
    </row>
    <row r="261" spans="1:7" x14ac:dyDescent="0.35">
      <c r="A261" s="140"/>
      <c r="B261" s="8"/>
      <c r="C261" s="8"/>
      <c r="D261" s="8"/>
      <c r="E261" s="8"/>
      <c r="G261" s="19"/>
    </row>
    <row r="262" spans="1:7" x14ac:dyDescent="0.35">
      <c r="A262" s="140"/>
      <c r="B262" s="8"/>
      <c r="C262" s="8"/>
      <c r="D262" s="8"/>
      <c r="E262" s="8"/>
      <c r="G262" s="19"/>
    </row>
    <row r="263" spans="1:7" x14ac:dyDescent="0.35">
      <c r="A263" s="140"/>
      <c r="B263" s="8"/>
      <c r="C263" s="8"/>
      <c r="D263" s="8"/>
      <c r="E263" s="8"/>
      <c r="G263" s="19"/>
    </row>
    <row r="264" spans="1:7" x14ac:dyDescent="0.35">
      <c r="A264" s="140"/>
      <c r="B264" s="8"/>
      <c r="C264" s="8"/>
      <c r="D264" s="8"/>
      <c r="E264" s="8"/>
      <c r="G264" s="19"/>
    </row>
    <row r="265" spans="1:7" x14ac:dyDescent="0.35">
      <c r="A265" s="140"/>
      <c r="B265" s="8"/>
      <c r="C265" s="8"/>
      <c r="D265" s="8"/>
      <c r="E265" s="8"/>
      <c r="G265" s="19"/>
    </row>
    <row r="266" spans="1:7" x14ac:dyDescent="0.35">
      <c r="A266" s="140"/>
      <c r="B266" s="8"/>
      <c r="C266" s="8"/>
      <c r="D266" s="8"/>
      <c r="E266" s="8"/>
      <c r="G266" s="19"/>
    </row>
    <row r="267" spans="1:7" x14ac:dyDescent="0.35">
      <c r="A267" s="140"/>
      <c r="B267" s="8"/>
      <c r="C267" s="8"/>
      <c r="D267" s="8"/>
      <c r="E267" s="8"/>
      <c r="G267" s="19"/>
    </row>
    <row r="268" spans="1:7" x14ac:dyDescent="0.35">
      <c r="A268" s="140"/>
      <c r="B268" s="8"/>
      <c r="C268" s="8"/>
      <c r="D268" s="8"/>
      <c r="E268" s="8"/>
      <c r="G268" s="19"/>
    </row>
    <row r="269" spans="1:7" x14ac:dyDescent="0.35">
      <c r="A269" s="140"/>
      <c r="B269" s="8"/>
      <c r="C269" s="8"/>
      <c r="D269" s="8"/>
      <c r="E269" s="8"/>
      <c r="G269" s="19"/>
    </row>
    <row r="270" spans="1:7" x14ac:dyDescent="0.35">
      <c r="A270" s="140"/>
      <c r="B270" s="8"/>
      <c r="C270" s="8"/>
      <c r="D270" s="8"/>
      <c r="E270" s="8"/>
      <c r="G270" s="19"/>
    </row>
    <row r="271" spans="1:7" x14ac:dyDescent="0.35">
      <c r="A271" s="140"/>
      <c r="B271" s="8"/>
      <c r="C271" s="8"/>
      <c r="D271" s="8"/>
      <c r="E271" s="8"/>
      <c r="G271" s="19"/>
    </row>
    <row r="272" spans="1:7" x14ac:dyDescent="0.35">
      <c r="A272" s="140"/>
      <c r="B272" s="8"/>
      <c r="C272" s="8"/>
      <c r="D272" s="8"/>
      <c r="E272" s="8"/>
      <c r="G272" s="19"/>
    </row>
    <row r="273" spans="1:7" x14ac:dyDescent="0.35">
      <c r="A273" s="140"/>
      <c r="B273" s="8"/>
      <c r="C273" s="8"/>
      <c r="D273" s="8"/>
      <c r="E273" s="8"/>
      <c r="G273" s="19"/>
    </row>
    <row r="274" spans="1:7" x14ac:dyDescent="0.35">
      <c r="A274" s="140"/>
      <c r="B274" s="8"/>
      <c r="C274" s="8"/>
      <c r="D274" s="8"/>
      <c r="E274" s="8"/>
      <c r="G274" s="19"/>
    </row>
    <row r="275" spans="1:7" x14ac:dyDescent="0.35">
      <c r="A275" s="140"/>
      <c r="B275" s="8"/>
      <c r="C275" s="8"/>
      <c r="D275" s="8"/>
      <c r="E275" s="8"/>
      <c r="G275" s="19"/>
    </row>
    <row r="276" spans="1:7" x14ac:dyDescent="0.35">
      <c r="A276" s="140"/>
      <c r="B276" s="8"/>
      <c r="C276" s="8"/>
      <c r="D276" s="8"/>
      <c r="E276" s="8"/>
      <c r="G276" s="19"/>
    </row>
    <row r="277" spans="1:7" x14ac:dyDescent="0.35">
      <c r="A277" s="140"/>
      <c r="B277" s="8"/>
      <c r="C277" s="8"/>
      <c r="D277" s="8"/>
      <c r="E277" s="8"/>
      <c r="G277" s="19"/>
    </row>
    <row r="278" spans="1:7" x14ac:dyDescent="0.35">
      <c r="A278" s="140"/>
      <c r="B278" s="8"/>
      <c r="C278" s="8"/>
      <c r="D278" s="8"/>
      <c r="E278" s="8"/>
      <c r="G278" s="19"/>
    </row>
    <row r="279" spans="1:7" x14ac:dyDescent="0.35">
      <c r="A279" s="140"/>
      <c r="B279" s="8"/>
      <c r="C279" s="8"/>
      <c r="D279" s="8"/>
      <c r="E279" s="8"/>
      <c r="G279" s="19"/>
    </row>
    <row r="280" spans="1:7" x14ac:dyDescent="0.35">
      <c r="A280" s="140"/>
      <c r="B280" s="8"/>
      <c r="C280" s="8"/>
      <c r="D280" s="8"/>
      <c r="E280" s="8"/>
      <c r="G280" s="19"/>
    </row>
    <row r="281" spans="1:7" x14ac:dyDescent="0.35">
      <c r="A281" s="140"/>
      <c r="B281" s="8"/>
      <c r="C281" s="8"/>
      <c r="D281" s="8"/>
      <c r="E281" s="8"/>
      <c r="G281" s="19"/>
    </row>
    <row r="282" spans="1:7" x14ac:dyDescent="0.35">
      <c r="A282" s="140"/>
      <c r="B282" s="8"/>
      <c r="C282" s="8"/>
      <c r="D282" s="8"/>
      <c r="E282" s="8"/>
      <c r="G282" s="19"/>
    </row>
    <row r="283" spans="1:7" x14ac:dyDescent="0.35">
      <c r="A283" s="140"/>
      <c r="B283" s="8"/>
      <c r="C283" s="8"/>
      <c r="D283" s="8"/>
      <c r="E283" s="8"/>
      <c r="G283" s="19"/>
    </row>
    <row r="284" spans="1:7" x14ac:dyDescent="0.35">
      <c r="A284" s="140"/>
      <c r="B284" s="8"/>
      <c r="C284" s="8"/>
      <c r="D284" s="8"/>
      <c r="E284" s="8"/>
      <c r="G284" s="19"/>
    </row>
    <row r="285" spans="1:7" x14ac:dyDescent="0.35">
      <c r="A285" s="140"/>
      <c r="B285" s="8"/>
      <c r="C285" s="8"/>
      <c r="D285" s="8"/>
      <c r="E285" s="8"/>
      <c r="G285" s="19"/>
    </row>
    <row r="286" spans="1:7" x14ac:dyDescent="0.35">
      <c r="A286" s="140"/>
      <c r="B286" s="8"/>
      <c r="C286" s="8"/>
      <c r="D286" s="8"/>
      <c r="E286" s="8"/>
      <c r="G286" s="19"/>
    </row>
    <row r="287" spans="1:7" x14ac:dyDescent="0.35">
      <c r="A287" s="140"/>
      <c r="B287" s="8"/>
      <c r="C287" s="8"/>
      <c r="D287" s="8"/>
      <c r="E287" s="8"/>
      <c r="G287" s="19"/>
    </row>
    <row r="288" spans="1:7" x14ac:dyDescent="0.35">
      <c r="A288" s="140"/>
      <c r="B288" s="8"/>
      <c r="C288" s="8"/>
      <c r="D288" s="8"/>
      <c r="E288" s="8"/>
      <c r="G288" s="19"/>
    </row>
    <row r="289" spans="1:7" x14ac:dyDescent="0.35">
      <c r="A289" s="140"/>
      <c r="B289" s="8"/>
      <c r="C289" s="8"/>
      <c r="D289" s="8"/>
      <c r="E289" s="8"/>
      <c r="G289" s="19"/>
    </row>
    <row r="290" spans="1:7" x14ac:dyDescent="0.35">
      <c r="A290" s="140"/>
      <c r="B290" s="8"/>
      <c r="C290" s="8"/>
      <c r="D290" s="8"/>
      <c r="E290" s="8"/>
      <c r="G290" s="19"/>
    </row>
    <row r="291" spans="1:7" x14ac:dyDescent="0.35">
      <c r="A291" s="140"/>
      <c r="B291" s="8"/>
      <c r="C291" s="8"/>
      <c r="D291" s="8"/>
      <c r="E291" s="8"/>
      <c r="G291" s="19"/>
    </row>
    <row r="292" spans="1:7" x14ac:dyDescent="0.35">
      <c r="A292" s="140"/>
      <c r="B292" s="8"/>
      <c r="C292" s="8"/>
      <c r="D292" s="8"/>
      <c r="E292" s="8"/>
      <c r="G292" s="19"/>
    </row>
    <row r="293" spans="1:7" x14ac:dyDescent="0.35">
      <c r="A293" s="140"/>
      <c r="B293" s="8"/>
      <c r="C293" s="8"/>
      <c r="D293" s="8"/>
      <c r="E293" s="8"/>
      <c r="G293" s="19"/>
    </row>
    <row r="294" spans="1:7" x14ac:dyDescent="0.35">
      <c r="A294" s="140"/>
      <c r="B294" s="8"/>
      <c r="C294" s="8"/>
      <c r="D294" s="8"/>
      <c r="E294" s="8"/>
      <c r="G294" s="19"/>
    </row>
    <row r="295" spans="1:7" x14ac:dyDescent="0.35">
      <c r="A295" s="140"/>
      <c r="B295" s="8"/>
      <c r="C295" s="8"/>
      <c r="D295" s="8"/>
      <c r="E295" s="8"/>
      <c r="G295" s="19"/>
    </row>
    <row r="296" spans="1:7" x14ac:dyDescent="0.35">
      <c r="A296" s="140"/>
      <c r="B296" s="8"/>
      <c r="C296" s="8"/>
      <c r="D296" s="8"/>
      <c r="E296" s="8"/>
      <c r="G296" s="19"/>
    </row>
    <row r="297" spans="1:7" x14ac:dyDescent="0.35">
      <c r="A297" s="140"/>
      <c r="B297" s="8"/>
      <c r="C297" s="8"/>
      <c r="D297" s="8"/>
      <c r="E297" s="8"/>
      <c r="G297" s="19"/>
    </row>
    <row r="298" spans="1:7" x14ac:dyDescent="0.35">
      <c r="A298" s="140"/>
      <c r="B298" s="8"/>
      <c r="C298" s="8"/>
      <c r="D298" s="8"/>
      <c r="E298" s="8"/>
      <c r="G298" s="19"/>
    </row>
    <row r="299" spans="1:7" x14ac:dyDescent="0.35">
      <c r="A299" s="140"/>
      <c r="B299" s="8"/>
      <c r="C299" s="8"/>
      <c r="D299" s="8"/>
      <c r="E299" s="8"/>
      <c r="G299" s="19"/>
    </row>
    <row r="300" spans="1:7" x14ac:dyDescent="0.35">
      <c r="A300" s="140"/>
      <c r="B300" s="8"/>
      <c r="C300" s="8"/>
      <c r="D300" s="8"/>
      <c r="E300" s="8"/>
      <c r="G300" s="19"/>
    </row>
    <row r="301" spans="1:7" x14ac:dyDescent="0.35">
      <c r="A301" s="140"/>
      <c r="B301" s="8"/>
      <c r="C301" s="8"/>
      <c r="D301" s="8"/>
      <c r="E301" s="8"/>
      <c r="G301" s="19"/>
    </row>
    <row r="302" spans="1:7" x14ac:dyDescent="0.35">
      <c r="A302" s="140"/>
      <c r="B302" s="8"/>
      <c r="C302" s="8"/>
      <c r="D302" s="8"/>
      <c r="E302" s="8"/>
      <c r="G302" s="19"/>
    </row>
    <row r="303" spans="1:7" x14ac:dyDescent="0.35">
      <c r="A303" s="140"/>
      <c r="B303" s="8"/>
      <c r="C303" s="8"/>
      <c r="D303" s="8"/>
      <c r="E303" s="8"/>
      <c r="G303" s="19"/>
    </row>
    <row r="304" spans="1:7" x14ac:dyDescent="0.35">
      <c r="A304" s="140"/>
      <c r="B304" s="8"/>
      <c r="C304" s="8"/>
      <c r="D304" s="8"/>
      <c r="E304" s="8"/>
      <c r="G304" s="19"/>
    </row>
    <row r="305" spans="1:7" x14ac:dyDescent="0.35">
      <c r="A305" s="140"/>
      <c r="B305" s="8"/>
      <c r="C305" s="8"/>
      <c r="D305" s="8"/>
      <c r="E305" s="8"/>
      <c r="G305" s="19"/>
    </row>
    <row r="306" spans="1:7" x14ac:dyDescent="0.35">
      <c r="A306" s="140"/>
      <c r="B306" s="8"/>
      <c r="C306" s="8"/>
      <c r="D306" s="8"/>
      <c r="E306" s="8"/>
      <c r="G306" s="19"/>
    </row>
    <row r="307" spans="1:7" x14ac:dyDescent="0.35">
      <c r="A307" s="140"/>
      <c r="B307" s="8"/>
      <c r="C307" s="8"/>
      <c r="D307" s="8"/>
      <c r="E307" s="8"/>
      <c r="G307" s="19"/>
    </row>
    <row r="308" spans="1:7" x14ac:dyDescent="0.35">
      <c r="A308" s="140"/>
      <c r="B308" s="8"/>
      <c r="C308" s="8"/>
      <c r="D308" s="8"/>
      <c r="E308" s="8"/>
      <c r="G308" s="19"/>
    </row>
    <row r="309" spans="1:7" x14ac:dyDescent="0.35">
      <c r="A309" s="140"/>
      <c r="B309" s="8"/>
      <c r="C309" s="8"/>
      <c r="D309" s="8"/>
      <c r="E309" s="8"/>
      <c r="G309" s="19"/>
    </row>
    <row r="310" spans="1:7" x14ac:dyDescent="0.35">
      <c r="A310" s="140"/>
      <c r="B310" s="8"/>
      <c r="C310" s="8"/>
      <c r="D310" s="8"/>
      <c r="E310" s="8"/>
      <c r="G310" s="19"/>
    </row>
    <row r="311" spans="1:7" x14ac:dyDescent="0.35">
      <c r="A311" s="140"/>
      <c r="B311" s="8"/>
      <c r="C311" s="8"/>
      <c r="D311" s="8"/>
      <c r="E311" s="8"/>
      <c r="G311" s="19"/>
    </row>
    <row r="312" spans="1:7" x14ac:dyDescent="0.35">
      <c r="A312" s="140"/>
      <c r="B312" s="8"/>
      <c r="C312" s="8"/>
      <c r="D312" s="8"/>
      <c r="E312" s="8"/>
      <c r="G312" s="19"/>
    </row>
    <row r="313" spans="1:7" x14ac:dyDescent="0.35">
      <c r="A313" s="140"/>
      <c r="B313" s="8"/>
      <c r="C313" s="8"/>
      <c r="D313" s="8"/>
      <c r="E313" s="8"/>
      <c r="G313" s="19"/>
    </row>
    <row r="314" spans="1:7" x14ac:dyDescent="0.35">
      <c r="A314" s="140"/>
      <c r="B314" s="8"/>
      <c r="C314" s="8"/>
      <c r="D314" s="8"/>
      <c r="E314" s="8"/>
      <c r="G314" s="19"/>
    </row>
    <row r="315" spans="1:7" x14ac:dyDescent="0.35">
      <c r="A315" s="140"/>
      <c r="B315" s="8"/>
      <c r="C315" s="8"/>
      <c r="D315" s="8"/>
      <c r="E315" s="8"/>
      <c r="G315" s="19"/>
    </row>
    <row r="316" spans="1:7" x14ac:dyDescent="0.35">
      <c r="A316" s="140"/>
      <c r="B316" s="8"/>
      <c r="C316" s="8"/>
      <c r="D316" s="8"/>
      <c r="E316" s="8"/>
      <c r="G316" s="19"/>
    </row>
    <row r="317" spans="1:7" x14ac:dyDescent="0.35">
      <c r="A317" s="140"/>
      <c r="B317" s="8"/>
      <c r="C317" s="8"/>
      <c r="D317" s="8"/>
      <c r="E317" s="8"/>
      <c r="G317" s="19"/>
    </row>
    <row r="318" spans="1:7" x14ac:dyDescent="0.35">
      <c r="A318" s="140"/>
      <c r="B318" s="8"/>
      <c r="C318" s="8"/>
      <c r="D318" s="8"/>
      <c r="E318" s="8"/>
      <c r="G318" s="19"/>
    </row>
    <row r="319" spans="1:7" x14ac:dyDescent="0.35">
      <c r="A319" s="140"/>
      <c r="B319" s="8"/>
      <c r="C319" s="8"/>
      <c r="D319" s="8"/>
      <c r="E319" s="8"/>
      <c r="G319" s="19"/>
    </row>
    <row r="320" spans="1:7" x14ac:dyDescent="0.35">
      <c r="A320" s="140"/>
      <c r="B320" s="8"/>
      <c r="C320" s="8"/>
      <c r="D320" s="8"/>
      <c r="E320" s="8"/>
      <c r="G320" s="19"/>
    </row>
    <row r="321" spans="1:7" x14ac:dyDescent="0.35">
      <c r="A321" s="140"/>
      <c r="B321" s="8"/>
      <c r="C321" s="8"/>
      <c r="D321" s="8"/>
      <c r="E321" s="8"/>
      <c r="G321" s="19"/>
    </row>
    <row r="322" spans="1:7" x14ac:dyDescent="0.35">
      <c r="A322" s="140"/>
      <c r="B322" s="8"/>
      <c r="C322" s="8"/>
      <c r="D322" s="8"/>
      <c r="E322" s="8"/>
      <c r="G322" s="19"/>
    </row>
    <row r="323" spans="1:7" x14ac:dyDescent="0.35">
      <c r="A323" s="140"/>
      <c r="B323" s="8"/>
      <c r="C323" s="8"/>
      <c r="D323" s="8"/>
      <c r="E323" s="8"/>
      <c r="G323" s="19"/>
    </row>
    <row r="324" spans="1:7" x14ac:dyDescent="0.35">
      <c r="A324" s="140"/>
      <c r="B324" s="8"/>
      <c r="C324" s="8"/>
      <c r="D324" s="8"/>
      <c r="E324" s="8"/>
      <c r="G324" s="19"/>
    </row>
    <row r="325" spans="1:7" x14ac:dyDescent="0.35">
      <c r="A325" s="140"/>
      <c r="B325" s="8"/>
      <c r="C325" s="8"/>
      <c r="D325" s="8"/>
      <c r="E325" s="8"/>
      <c r="G325" s="19"/>
    </row>
    <row r="326" spans="1:7" x14ac:dyDescent="0.35">
      <c r="A326" s="140"/>
      <c r="B326" s="8"/>
      <c r="C326" s="8"/>
      <c r="D326" s="8"/>
      <c r="E326" s="8"/>
      <c r="G326" s="19"/>
    </row>
    <row r="327" spans="1:7" x14ac:dyDescent="0.35">
      <c r="A327" s="140"/>
      <c r="B327" s="8"/>
      <c r="C327" s="8"/>
      <c r="D327" s="8"/>
      <c r="E327" s="8"/>
      <c r="G327" s="19"/>
    </row>
    <row r="328" spans="1:7" x14ac:dyDescent="0.35">
      <c r="A328" s="140"/>
      <c r="B328" s="8"/>
      <c r="C328" s="8"/>
      <c r="D328" s="8"/>
      <c r="E328" s="8"/>
      <c r="G328" s="19"/>
    </row>
    <row r="329" spans="1:7" x14ac:dyDescent="0.35">
      <c r="A329" s="140"/>
      <c r="B329" s="8"/>
      <c r="C329" s="8"/>
      <c r="D329" s="8"/>
      <c r="E329" s="8"/>
      <c r="G329" s="19"/>
    </row>
    <row r="330" spans="1:7" x14ac:dyDescent="0.35">
      <c r="A330" s="140"/>
      <c r="B330" s="8"/>
      <c r="C330" s="8"/>
      <c r="D330" s="8"/>
      <c r="E330" s="8"/>
      <c r="G330" s="19"/>
    </row>
    <row r="331" spans="1:7" x14ac:dyDescent="0.35">
      <c r="A331" s="140"/>
      <c r="B331" s="8"/>
      <c r="C331" s="8"/>
      <c r="D331" s="8"/>
      <c r="E331" s="8"/>
      <c r="G331" s="19"/>
    </row>
    <row r="332" spans="1:7" x14ac:dyDescent="0.35">
      <c r="A332" s="140"/>
      <c r="B332" s="8"/>
      <c r="C332" s="8"/>
      <c r="D332" s="8"/>
      <c r="E332" s="8"/>
      <c r="G332" s="19"/>
    </row>
    <row r="333" spans="1:7" x14ac:dyDescent="0.35">
      <c r="A333" s="140"/>
      <c r="B333" s="8"/>
      <c r="C333" s="8"/>
      <c r="D333" s="8"/>
      <c r="E333" s="8"/>
      <c r="G333" s="19"/>
    </row>
    <row r="334" spans="1:7" x14ac:dyDescent="0.35">
      <c r="A334" s="140"/>
      <c r="B334" s="8"/>
      <c r="C334" s="8"/>
      <c r="D334" s="8"/>
      <c r="E334" s="8"/>
      <c r="G334" s="19"/>
    </row>
    <row r="335" spans="1:7" x14ac:dyDescent="0.35">
      <c r="A335" s="140"/>
      <c r="B335" s="8"/>
      <c r="C335" s="8"/>
      <c r="D335" s="8"/>
      <c r="E335" s="8"/>
      <c r="G335" s="19"/>
    </row>
    <row r="336" spans="1:7" x14ac:dyDescent="0.35">
      <c r="A336" s="140"/>
      <c r="B336" s="8"/>
      <c r="C336" s="8"/>
      <c r="D336" s="8"/>
      <c r="E336" s="8"/>
      <c r="G336" s="19"/>
    </row>
    <row r="337" spans="1:7" x14ac:dyDescent="0.35">
      <c r="A337" s="140"/>
      <c r="B337" s="8"/>
      <c r="C337" s="8"/>
      <c r="D337" s="8"/>
      <c r="E337" s="8"/>
      <c r="G337" s="19"/>
    </row>
    <row r="338" spans="1:7" x14ac:dyDescent="0.35">
      <c r="A338" s="140"/>
      <c r="B338" s="8"/>
      <c r="C338" s="8"/>
      <c r="D338" s="8"/>
      <c r="E338" s="8"/>
      <c r="G338" s="19"/>
    </row>
    <row r="339" spans="1:7" x14ac:dyDescent="0.35">
      <c r="A339" s="140"/>
      <c r="B339" s="8"/>
      <c r="C339" s="8"/>
      <c r="D339" s="8"/>
      <c r="E339" s="8"/>
      <c r="G339" s="19"/>
    </row>
    <row r="340" spans="1:7" x14ac:dyDescent="0.35">
      <c r="A340" s="140"/>
      <c r="B340" s="8"/>
      <c r="C340" s="8"/>
      <c r="D340" s="8"/>
      <c r="E340" s="8"/>
      <c r="G340" s="19"/>
    </row>
    <row r="341" spans="1:7" x14ac:dyDescent="0.35">
      <c r="A341" s="140"/>
      <c r="B341" s="8"/>
      <c r="C341" s="8"/>
      <c r="D341" s="8"/>
      <c r="E341" s="8"/>
      <c r="G341" s="19"/>
    </row>
    <row r="342" spans="1:7" x14ac:dyDescent="0.35">
      <c r="A342" s="140"/>
      <c r="B342" s="8"/>
      <c r="C342" s="8"/>
      <c r="D342" s="8"/>
      <c r="E342" s="8"/>
      <c r="G342" s="19"/>
    </row>
    <row r="343" spans="1:7" x14ac:dyDescent="0.35">
      <c r="A343" s="140"/>
      <c r="B343" s="8"/>
      <c r="C343" s="8"/>
      <c r="D343" s="8"/>
      <c r="E343" s="8"/>
      <c r="G343" s="19"/>
    </row>
    <row r="344" spans="1:7" x14ac:dyDescent="0.35">
      <c r="A344" s="140"/>
      <c r="B344" s="8"/>
      <c r="C344" s="8"/>
      <c r="D344" s="8"/>
      <c r="E344" s="8"/>
      <c r="G344" s="19"/>
    </row>
    <row r="345" spans="1:7" x14ac:dyDescent="0.35">
      <c r="A345" s="140"/>
      <c r="B345" s="8"/>
      <c r="C345" s="8"/>
      <c r="D345" s="8"/>
      <c r="E345" s="8"/>
      <c r="G345" s="19"/>
    </row>
    <row r="346" spans="1:7" x14ac:dyDescent="0.35">
      <c r="A346" s="140"/>
      <c r="B346" s="8"/>
      <c r="C346" s="8"/>
      <c r="D346" s="8"/>
      <c r="E346" s="8"/>
      <c r="G346" s="19"/>
    </row>
    <row r="347" spans="1:7" x14ac:dyDescent="0.35">
      <c r="A347" s="140"/>
      <c r="B347" s="8"/>
      <c r="C347" s="8"/>
      <c r="D347" s="8"/>
      <c r="E347" s="8"/>
      <c r="G347" s="19"/>
    </row>
    <row r="348" spans="1:7" x14ac:dyDescent="0.35">
      <c r="A348" s="140"/>
      <c r="B348" s="8"/>
      <c r="C348" s="8"/>
      <c r="D348" s="8"/>
      <c r="E348" s="8"/>
      <c r="G348" s="19"/>
    </row>
    <row r="349" spans="1:7" x14ac:dyDescent="0.35">
      <c r="A349" s="140"/>
      <c r="B349" s="8"/>
      <c r="C349" s="8"/>
      <c r="D349" s="8"/>
      <c r="E349" s="8"/>
      <c r="G349" s="19"/>
    </row>
    <row r="350" spans="1:7" x14ac:dyDescent="0.35">
      <c r="A350" s="140"/>
      <c r="B350" s="8"/>
      <c r="C350" s="8"/>
      <c r="D350" s="8"/>
      <c r="E350" s="8"/>
      <c r="G350" s="19"/>
    </row>
    <row r="351" spans="1:7" x14ac:dyDescent="0.35">
      <c r="A351" s="140"/>
      <c r="B351" s="8"/>
      <c r="C351" s="8"/>
      <c r="D351" s="8"/>
      <c r="E351" s="8"/>
      <c r="G351" s="19"/>
    </row>
    <row r="352" spans="1:7" x14ac:dyDescent="0.35">
      <c r="A352" s="140"/>
      <c r="B352" s="8"/>
      <c r="C352" s="8"/>
      <c r="D352" s="8"/>
      <c r="E352" s="8"/>
      <c r="G352" s="19"/>
    </row>
    <row r="353" spans="1:7" x14ac:dyDescent="0.35">
      <c r="A353" s="140"/>
      <c r="B353" s="8"/>
      <c r="C353" s="8"/>
      <c r="D353" s="8"/>
      <c r="E353" s="8"/>
      <c r="G353" s="19"/>
    </row>
    <row r="354" spans="1:7" x14ac:dyDescent="0.35">
      <c r="A354" s="140"/>
      <c r="B354" s="8"/>
      <c r="C354" s="8"/>
      <c r="D354" s="8"/>
      <c r="E354" s="8"/>
      <c r="G354" s="19"/>
    </row>
    <row r="355" spans="1:7" x14ac:dyDescent="0.35">
      <c r="A355" s="140"/>
      <c r="B355" s="8"/>
      <c r="C355" s="8"/>
      <c r="D355" s="8"/>
      <c r="E355" s="8"/>
      <c r="G355" s="19"/>
    </row>
    <row r="356" spans="1:7" x14ac:dyDescent="0.35">
      <c r="A356" s="140"/>
      <c r="B356" s="8"/>
      <c r="C356" s="8"/>
      <c r="D356" s="8"/>
      <c r="E356" s="8"/>
      <c r="G356" s="19"/>
    </row>
    <row r="357" spans="1:7" x14ac:dyDescent="0.35">
      <c r="A357" s="140"/>
      <c r="B357" s="8"/>
      <c r="C357" s="8"/>
      <c r="D357" s="8"/>
      <c r="E357" s="8"/>
      <c r="G357" s="19"/>
    </row>
    <row r="358" spans="1:7" x14ac:dyDescent="0.35">
      <c r="A358" s="140"/>
      <c r="B358" s="8"/>
      <c r="C358" s="8"/>
      <c r="D358" s="8"/>
      <c r="E358" s="8"/>
      <c r="G358" s="19"/>
    </row>
    <row r="359" spans="1:7" x14ac:dyDescent="0.35">
      <c r="A359" s="140"/>
      <c r="B359" s="8"/>
      <c r="C359" s="8"/>
      <c r="D359" s="8"/>
      <c r="E359" s="8"/>
      <c r="G359" s="19"/>
    </row>
    <row r="360" spans="1:7" x14ac:dyDescent="0.35">
      <c r="A360" s="140"/>
      <c r="B360" s="8"/>
      <c r="C360" s="8"/>
      <c r="D360" s="8"/>
      <c r="E360" s="8"/>
      <c r="G360" s="19"/>
    </row>
    <row r="361" spans="1:7" x14ac:dyDescent="0.35">
      <c r="A361" s="140"/>
      <c r="B361" s="8"/>
      <c r="C361" s="8"/>
      <c r="D361" s="8"/>
      <c r="E361" s="8"/>
      <c r="G361" s="19"/>
    </row>
    <row r="362" spans="1:7" x14ac:dyDescent="0.35">
      <c r="A362" s="140"/>
      <c r="B362" s="8"/>
      <c r="C362" s="8"/>
      <c r="D362" s="8"/>
      <c r="E362" s="8"/>
      <c r="G362" s="19"/>
    </row>
    <row r="363" spans="1:7" x14ac:dyDescent="0.35">
      <c r="A363" s="140"/>
      <c r="B363" s="8"/>
      <c r="C363" s="8"/>
      <c r="D363" s="8"/>
      <c r="E363" s="8"/>
      <c r="G363" s="19"/>
    </row>
    <row r="364" spans="1:7" x14ac:dyDescent="0.35">
      <c r="A364" s="140"/>
      <c r="B364" s="8"/>
      <c r="C364" s="8"/>
      <c r="D364" s="8"/>
      <c r="E364" s="8"/>
      <c r="G364" s="19"/>
    </row>
    <row r="365" spans="1:7" x14ac:dyDescent="0.35">
      <c r="A365" s="140"/>
      <c r="B365" s="8"/>
      <c r="C365" s="8"/>
      <c r="D365" s="8"/>
      <c r="E365" s="8"/>
      <c r="G365" s="19"/>
    </row>
    <row r="366" spans="1:7" x14ac:dyDescent="0.35">
      <c r="A366" s="140"/>
      <c r="B366" s="8"/>
      <c r="C366" s="8"/>
      <c r="D366" s="8"/>
      <c r="E366" s="8"/>
      <c r="G366" s="19"/>
    </row>
    <row r="367" spans="1:7" x14ac:dyDescent="0.35">
      <c r="A367" s="140"/>
      <c r="B367" s="8"/>
      <c r="C367" s="8"/>
      <c r="D367" s="8"/>
      <c r="E367" s="8"/>
      <c r="G367" s="19"/>
    </row>
    <row r="368" spans="1:7" x14ac:dyDescent="0.35">
      <c r="A368" s="140"/>
      <c r="B368" s="8"/>
      <c r="C368" s="8"/>
      <c r="D368" s="8"/>
      <c r="E368" s="8"/>
      <c r="G368" s="19"/>
    </row>
    <row r="369" spans="1:7" x14ac:dyDescent="0.35">
      <c r="A369" s="140"/>
      <c r="B369" s="8"/>
      <c r="C369" s="8"/>
      <c r="D369" s="8"/>
      <c r="E369" s="8"/>
      <c r="G369" s="19"/>
    </row>
    <row r="370" spans="1:7" x14ac:dyDescent="0.35">
      <c r="A370" s="140"/>
      <c r="B370" s="8"/>
      <c r="C370" s="8"/>
      <c r="D370" s="8"/>
      <c r="E370" s="8"/>
      <c r="G370" s="19"/>
    </row>
    <row r="371" spans="1:7" x14ac:dyDescent="0.35">
      <c r="A371" s="140"/>
      <c r="B371" s="8"/>
      <c r="C371" s="8"/>
      <c r="D371" s="8"/>
      <c r="E371" s="8"/>
      <c r="G371" s="19"/>
    </row>
    <row r="372" spans="1:7" x14ac:dyDescent="0.35">
      <c r="A372" s="140"/>
      <c r="B372" s="8"/>
      <c r="C372" s="8"/>
      <c r="D372" s="8"/>
      <c r="E372" s="8"/>
      <c r="G372" s="19"/>
    </row>
    <row r="373" spans="1:7" x14ac:dyDescent="0.35">
      <c r="A373" s="140"/>
      <c r="B373" s="8"/>
      <c r="C373" s="8"/>
      <c r="D373" s="8"/>
      <c r="E373" s="8"/>
      <c r="G373" s="19"/>
    </row>
    <row r="374" spans="1:7" x14ac:dyDescent="0.35">
      <c r="A374" s="140"/>
      <c r="B374" s="8"/>
      <c r="C374" s="8"/>
      <c r="D374" s="8"/>
      <c r="E374" s="8"/>
      <c r="G374" s="19"/>
    </row>
    <row r="375" spans="1:7" x14ac:dyDescent="0.35">
      <c r="A375" s="140"/>
      <c r="B375" s="8"/>
      <c r="C375" s="8"/>
      <c r="D375" s="8"/>
      <c r="E375" s="8"/>
      <c r="G375" s="19"/>
    </row>
    <row r="376" spans="1:7" x14ac:dyDescent="0.35">
      <c r="A376" s="140"/>
      <c r="B376" s="8"/>
      <c r="C376" s="8"/>
      <c r="D376" s="8"/>
      <c r="E376" s="8"/>
      <c r="G376" s="19"/>
    </row>
    <row r="377" spans="1:7" x14ac:dyDescent="0.35">
      <c r="A377" s="140"/>
      <c r="B377" s="8"/>
      <c r="C377" s="8"/>
      <c r="D377" s="8"/>
      <c r="E377" s="8"/>
      <c r="G377" s="19"/>
    </row>
    <row r="378" spans="1:7" x14ac:dyDescent="0.35">
      <c r="A378" s="140"/>
      <c r="B378" s="8"/>
      <c r="C378" s="8"/>
      <c r="D378" s="8"/>
      <c r="E378" s="8"/>
      <c r="G378" s="19"/>
    </row>
    <row r="379" spans="1:7" x14ac:dyDescent="0.35">
      <c r="A379" s="140"/>
      <c r="B379" s="8"/>
      <c r="C379" s="8"/>
      <c r="D379" s="8"/>
      <c r="E379" s="8"/>
      <c r="G379" s="19"/>
    </row>
    <row r="380" spans="1:7" x14ac:dyDescent="0.35">
      <c r="A380" s="140"/>
      <c r="B380" s="8"/>
      <c r="C380" s="8"/>
      <c r="D380" s="8"/>
      <c r="E380" s="8"/>
      <c r="G380" s="19"/>
    </row>
    <row r="381" spans="1:7" x14ac:dyDescent="0.35">
      <c r="A381" s="140"/>
      <c r="B381" s="8"/>
      <c r="C381" s="8"/>
      <c r="D381" s="8"/>
      <c r="E381" s="8"/>
      <c r="G381" s="19"/>
    </row>
    <row r="382" spans="1:7" x14ac:dyDescent="0.35">
      <c r="A382" s="140"/>
      <c r="B382" s="8"/>
      <c r="C382" s="8"/>
      <c r="D382" s="8"/>
      <c r="E382" s="8"/>
      <c r="G382" s="19"/>
    </row>
    <row r="383" spans="1:7" x14ac:dyDescent="0.35">
      <c r="A383" s="140"/>
      <c r="B383" s="8"/>
      <c r="C383" s="8"/>
      <c r="D383" s="8"/>
      <c r="E383" s="8"/>
      <c r="G383" s="19"/>
    </row>
    <row r="384" spans="1:7" x14ac:dyDescent="0.35">
      <c r="A384" s="140"/>
      <c r="B384" s="8"/>
      <c r="C384" s="8"/>
      <c r="D384" s="8"/>
      <c r="E384" s="8"/>
      <c r="G384" s="19"/>
    </row>
    <row r="385" spans="1:7" x14ac:dyDescent="0.35">
      <c r="A385" s="140"/>
      <c r="B385" s="8"/>
      <c r="C385" s="8"/>
      <c r="D385" s="8"/>
      <c r="E385" s="8"/>
      <c r="G385" s="19"/>
    </row>
    <row r="386" spans="1:7" x14ac:dyDescent="0.35">
      <c r="A386" s="140"/>
      <c r="B386" s="8"/>
      <c r="C386" s="8"/>
      <c r="D386" s="8"/>
      <c r="E386" s="8"/>
      <c r="G386" s="19"/>
    </row>
    <row r="387" spans="1:7" x14ac:dyDescent="0.35">
      <c r="A387" s="140"/>
      <c r="B387" s="8"/>
      <c r="C387" s="8"/>
      <c r="D387" s="8"/>
      <c r="E387" s="8"/>
      <c r="G387" s="19"/>
    </row>
    <row r="388" spans="1:7" x14ac:dyDescent="0.35">
      <c r="A388" s="140"/>
      <c r="B388" s="8"/>
      <c r="C388" s="8"/>
      <c r="D388" s="8"/>
      <c r="E388" s="8"/>
      <c r="G388" s="19"/>
    </row>
    <row r="389" spans="1:7" x14ac:dyDescent="0.35">
      <c r="A389" s="140"/>
      <c r="B389" s="8"/>
      <c r="C389" s="8"/>
      <c r="D389" s="8"/>
      <c r="E389" s="8"/>
      <c r="G389" s="19"/>
    </row>
    <row r="390" spans="1:7" x14ac:dyDescent="0.35">
      <c r="A390" s="140"/>
      <c r="B390" s="8"/>
      <c r="C390" s="8"/>
      <c r="D390" s="8"/>
      <c r="E390" s="8"/>
      <c r="G390" s="19"/>
    </row>
    <row r="391" spans="1:7" x14ac:dyDescent="0.35">
      <c r="A391" s="140"/>
      <c r="B391" s="8"/>
      <c r="C391" s="8"/>
      <c r="D391" s="8"/>
      <c r="E391" s="8"/>
      <c r="G391" s="19"/>
    </row>
    <row r="392" spans="1:7" x14ac:dyDescent="0.35">
      <c r="A392" s="140"/>
      <c r="B392" s="8"/>
      <c r="C392" s="8"/>
      <c r="D392" s="8"/>
      <c r="E392" s="8"/>
      <c r="G392" s="19"/>
    </row>
    <row r="393" spans="1:7" x14ac:dyDescent="0.35">
      <c r="A393" s="140"/>
      <c r="B393" s="8"/>
      <c r="C393" s="8"/>
      <c r="D393" s="8"/>
      <c r="E393" s="8"/>
      <c r="G393" s="19"/>
    </row>
    <row r="394" spans="1:7" x14ac:dyDescent="0.35">
      <c r="A394" s="140"/>
      <c r="B394" s="8"/>
      <c r="C394" s="8"/>
      <c r="D394" s="8"/>
      <c r="E394" s="8"/>
      <c r="G394" s="19"/>
    </row>
    <row r="395" spans="1:7" x14ac:dyDescent="0.35">
      <c r="A395" s="140"/>
      <c r="B395" s="8"/>
      <c r="C395" s="8"/>
      <c r="D395" s="8"/>
      <c r="E395" s="8"/>
      <c r="G395" s="19"/>
    </row>
    <row r="396" spans="1:7" x14ac:dyDescent="0.35">
      <c r="A396" s="140"/>
      <c r="B396" s="8"/>
      <c r="C396" s="8"/>
      <c r="D396" s="8"/>
      <c r="E396" s="8"/>
      <c r="G396" s="19"/>
    </row>
    <row r="397" spans="1:7" x14ac:dyDescent="0.35">
      <c r="A397" s="140"/>
      <c r="B397" s="8"/>
      <c r="C397" s="8"/>
      <c r="D397" s="8"/>
      <c r="E397" s="8"/>
      <c r="G397" s="19"/>
    </row>
    <row r="398" spans="1:7" x14ac:dyDescent="0.35">
      <c r="A398" s="140"/>
      <c r="B398" s="8"/>
      <c r="C398" s="8"/>
      <c r="D398" s="8"/>
      <c r="E398" s="8"/>
      <c r="G398" s="19"/>
    </row>
    <row r="399" spans="1:7" x14ac:dyDescent="0.35">
      <c r="A399" s="140"/>
      <c r="B399" s="8"/>
      <c r="C399" s="8"/>
      <c r="D399" s="8"/>
      <c r="E399" s="8"/>
      <c r="G399" s="19"/>
    </row>
    <row r="400" spans="1:7" x14ac:dyDescent="0.35">
      <c r="A400" s="140"/>
      <c r="B400" s="8"/>
      <c r="C400" s="8"/>
      <c r="D400" s="8"/>
      <c r="E400" s="8"/>
      <c r="G400" s="19"/>
    </row>
    <row r="401" spans="1:7" x14ac:dyDescent="0.35">
      <c r="A401" s="140"/>
      <c r="B401" s="8"/>
      <c r="C401" s="8"/>
      <c r="D401" s="8"/>
      <c r="E401" s="8"/>
      <c r="G401" s="19"/>
    </row>
    <row r="402" spans="1:7" x14ac:dyDescent="0.35">
      <c r="A402" s="140"/>
      <c r="B402" s="8"/>
      <c r="C402" s="8"/>
      <c r="D402" s="8"/>
      <c r="E402" s="8"/>
      <c r="G402" s="19"/>
    </row>
    <row r="403" spans="1:7" x14ac:dyDescent="0.35">
      <c r="A403" s="140"/>
      <c r="B403" s="8"/>
      <c r="C403" s="8"/>
      <c r="D403" s="8"/>
      <c r="E403" s="8"/>
      <c r="G403" s="19"/>
    </row>
    <row r="404" spans="1:7" x14ac:dyDescent="0.35">
      <c r="A404" s="140"/>
      <c r="B404" s="8"/>
      <c r="C404" s="8"/>
      <c r="D404" s="8"/>
      <c r="E404" s="8"/>
      <c r="G404" s="19"/>
    </row>
    <row r="405" spans="1:7" x14ac:dyDescent="0.35">
      <c r="A405" s="140"/>
      <c r="B405" s="8"/>
      <c r="C405" s="8"/>
      <c r="D405" s="8"/>
      <c r="E405" s="8"/>
      <c r="G405" s="19"/>
    </row>
    <row r="406" spans="1:7" x14ac:dyDescent="0.35">
      <c r="A406" s="140"/>
      <c r="B406" s="8"/>
      <c r="C406" s="8"/>
      <c r="D406" s="8"/>
      <c r="E406" s="8"/>
      <c r="G406" s="19"/>
    </row>
    <row r="407" spans="1:7" x14ac:dyDescent="0.35">
      <c r="A407" s="140"/>
      <c r="B407" s="8"/>
      <c r="C407" s="8"/>
      <c r="D407" s="8"/>
      <c r="E407" s="8"/>
      <c r="G407" s="19"/>
    </row>
    <row r="408" spans="1:7" x14ac:dyDescent="0.35">
      <c r="A408" s="140"/>
      <c r="B408" s="8"/>
      <c r="C408" s="8"/>
      <c r="D408" s="8"/>
      <c r="E408" s="8"/>
      <c r="G408" s="19"/>
    </row>
    <row r="409" spans="1:7" x14ac:dyDescent="0.35">
      <c r="A409" s="140"/>
      <c r="B409" s="8"/>
      <c r="C409" s="8"/>
      <c r="D409" s="8"/>
      <c r="E409" s="8"/>
      <c r="G409" s="19"/>
    </row>
    <row r="410" spans="1:7" x14ac:dyDescent="0.35">
      <c r="A410" s="140"/>
      <c r="B410" s="8"/>
      <c r="C410" s="8"/>
      <c r="D410" s="8"/>
      <c r="E410" s="8"/>
      <c r="G410" s="19"/>
    </row>
    <row r="411" spans="1:7" x14ac:dyDescent="0.35">
      <c r="A411" s="140"/>
      <c r="B411" s="8"/>
      <c r="C411" s="8"/>
      <c r="D411" s="8"/>
      <c r="E411" s="8"/>
      <c r="G411" s="19"/>
    </row>
    <row r="412" spans="1:7" x14ac:dyDescent="0.35">
      <c r="A412" s="140"/>
      <c r="B412" s="8"/>
      <c r="C412" s="8"/>
      <c r="D412" s="8"/>
      <c r="E412" s="8"/>
      <c r="G412" s="19"/>
    </row>
    <row r="413" spans="1:7" x14ac:dyDescent="0.35">
      <c r="A413" s="140"/>
      <c r="B413" s="8"/>
      <c r="C413" s="8"/>
      <c r="D413" s="8"/>
      <c r="E413" s="8"/>
      <c r="G413" s="19"/>
    </row>
    <row r="414" spans="1:7" x14ac:dyDescent="0.35">
      <c r="A414" s="140"/>
      <c r="B414" s="8"/>
      <c r="C414" s="8"/>
      <c r="D414" s="8"/>
      <c r="E414" s="8"/>
      <c r="G414" s="19"/>
    </row>
    <row r="415" spans="1:7" x14ac:dyDescent="0.35">
      <c r="A415" s="140"/>
      <c r="B415" s="8"/>
      <c r="C415" s="8"/>
      <c r="D415" s="8"/>
      <c r="E415" s="8"/>
      <c r="G415" s="19"/>
    </row>
    <row r="416" spans="1:7" x14ac:dyDescent="0.35">
      <c r="A416" s="140"/>
      <c r="B416" s="8"/>
      <c r="C416" s="8"/>
      <c r="D416" s="8"/>
      <c r="E416" s="8"/>
      <c r="G416" s="19"/>
    </row>
    <row r="417" spans="1:7" x14ac:dyDescent="0.35">
      <c r="A417" s="140"/>
      <c r="B417" s="8"/>
      <c r="C417" s="8"/>
      <c r="D417" s="8"/>
      <c r="E417" s="8"/>
      <c r="G417" s="19"/>
    </row>
    <row r="418" spans="1:7" x14ac:dyDescent="0.35">
      <c r="A418" s="140"/>
      <c r="B418" s="8"/>
      <c r="C418" s="8"/>
      <c r="D418" s="8"/>
      <c r="E418" s="8"/>
      <c r="G418" s="19"/>
    </row>
    <row r="419" spans="1:7" x14ac:dyDescent="0.35">
      <c r="A419" s="140"/>
      <c r="B419" s="8"/>
      <c r="C419" s="8"/>
      <c r="D419" s="8"/>
      <c r="E419" s="8"/>
      <c r="G419" s="19"/>
    </row>
    <row r="420" spans="1:7" x14ac:dyDescent="0.35">
      <c r="A420" s="140"/>
      <c r="B420" s="8"/>
      <c r="C420" s="8"/>
      <c r="D420" s="8"/>
      <c r="E420" s="8"/>
      <c r="G420" s="19"/>
    </row>
    <row r="421" spans="1:7" x14ac:dyDescent="0.35">
      <c r="A421" s="140"/>
      <c r="B421" s="8"/>
      <c r="C421" s="8"/>
      <c r="D421" s="8"/>
      <c r="E421" s="8"/>
      <c r="G421" s="19"/>
    </row>
    <row r="422" spans="1:7" x14ac:dyDescent="0.35">
      <c r="A422" s="140"/>
      <c r="B422" s="8"/>
      <c r="C422" s="8"/>
      <c r="D422" s="8"/>
      <c r="E422" s="8"/>
      <c r="G422" s="19"/>
    </row>
    <row r="423" spans="1:7" x14ac:dyDescent="0.35">
      <c r="A423" s="140"/>
      <c r="B423" s="8"/>
      <c r="C423" s="8"/>
      <c r="D423" s="8"/>
      <c r="E423" s="8"/>
      <c r="G423" s="19"/>
    </row>
    <row r="424" spans="1:7" x14ac:dyDescent="0.35">
      <c r="A424" s="140"/>
      <c r="B424" s="8"/>
      <c r="C424" s="8"/>
      <c r="D424" s="8"/>
      <c r="E424" s="8"/>
      <c r="G424" s="19"/>
    </row>
    <row r="425" spans="1:7" x14ac:dyDescent="0.35">
      <c r="A425" s="140"/>
      <c r="B425" s="8"/>
      <c r="C425" s="8"/>
      <c r="D425" s="8"/>
      <c r="E425" s="8"/>
      <c r="G425" s="19"/>
    </row>
    <row r="426" spans="1:7" x14ac:dyDescent="0.35">
      <c r="A426" s="140"/>
      <c r="B426" s="8"/>
      <c r="C426" s="8"/>
      <c r="D426" s="8"/>
      <c r="E426" s="8"/>
      <c r="G426" s="19"/>
    </row>
    <row r="427" spans="1:7" x14ac:dyDescent="0.35">
      <c r="A427" s="140"/>
      <c r="B427" s="8"/>
      <c r="C427" s="8"/>
      <c r="D427" s="8"/>
      <c r="E427" s="8"/>
      <c r="G427" s="19"/>
    </row>
    <row r="428" spans="1:7" x14ac:dyDescent="0.35">
      <c r="A428" s="140"/>
      <c r="B428" s="8"/>
      <c r="C428" s="8"/>
      <c r="D428" s="8"/>
      <c r="E428" s="8"/>
      <c r="G428" s="19"/>
    </row>
    <row r="429" spans="1:7" x14ac:dyDescent="0.35">
      <c r="A429" s="140"/>
      <c r="B429" s="8"/>
      <c r="C429" s="8"/>
      <c r="D429" s="8"/>
      <c r="E429" s="8"/>
      <c r="G429" s="19"/>
    </row>
    <row r="430" spans="1:7" x14ac:dyDescent="0.35">
      <c r="A430" s="140"/>
      <c r="B430" s="8"/>
      <c r="C430" s="8"/>
      <c r="D430" s="8"/>
      <c r="E430" s="8"/>
      <c r="G430" s="19"/>
    </row>
    <row r="431" spans="1:7" x14ac:dyDescent="0.35">
      <c r="A431" s="140"/>
      <c r="B431" s="8"/>
      <c r="C431" s="8"/>
      <c r="D431" s="8"/>
      <c r="E431" s="8"/>
      <c r="G431" s="19"/>
    </row>
    <row r="432" spans="1:7" x14ac:dyDescent="0.35">
      <c r="A432" s="140"/>
      <c r="B432" s="8"/>
      <c r="C432" s="8"/>
      <c r="D432" s="8"/>
      <c r="E432" s="8"/>
      <c r="G432" s="19"/>
    </row>
    <row r="433" spans="1:7" x14ac:dyDescent="0.35">
      <c r="A433" s="140"/>
      <c r="B433" s="8"/>
      <c r="C433" s="8"/>
      <c r="D433" s="8"/>
      <c r="E433" s="8"/>
      <c r="G433" s="19"/>
    </row>
    <row r="434" spans="1:7" x14ac:dyDescent="0.35">
      <c r="A434" s="140"/>
      <c r="B434" s="8"/>
      <c r="C434" s="8"/>
      <c r="D434" s="8"/>
      <c r="E434" s="8"/>
      <c r="G434" s="19"/>
    </row>
    <row r="435" spans="1:7" x14ac:dyDescent="0.35">
      <c r="A435" s="140"/>
      <c r="B435" s="8"/>
      <c r="C435" s="8"/>
      <c r="D435" s="8"/>
      <c r="E435" s="8"/>
      <c r="G435" s="19"/>
    </row>
    <row r="436" spans="1:7" x14ac:dyDescent="0.35">
      <c r="A436" s="140"/>
      <c r="B436" s="8"/>
      <c r="C436" s="8"/>
      <c r="D436" s="8"/>
      <c r="E436" s="8"/>
      <c r="G436" s="19"/>
    </row>
    <row r="437" spans="1:7" x14ac:dyDescent="0.35">
      <c r="A437" s="140"/>
      <c r="B437" s="8"/>
      <c r="C437" s="8"/>
      <c r="D437" s="8"/>
      <c r="E437" s="8"/>
      <c r="G437" s="19"/>
    </row>
    <row r="438" spans="1:7" x14ac:dyDescent="0.35">
      <c r="A438" s="140"/>
      <c r="B438" s="8"/>
      <c r="C438" s="8"/>
      <c r="D438" s="8"/>
      <c r="E438" s="8"/>
      <c r="G438" s="19"/>
    </row>
    <row r="439" spans="1:7" x14ac:dyDescent="0.35">
      <c r="A439" s="140"/>
      <c r="B439" s="8"/>
      <c r="C439" s="8"/>
      <c r="D439" s="8"/>
      <c r="E439" s="8"/>
      <c r="G439" s="19"/>
    </row>
    <row r="440" spans="1:7" x14ac:dyDescent="0.35">
      <c r="A440" s="140"/>
      <c r="B440" s="8"/>
      <c r="C440" s="8"/>
      <c r="D440" s="8"/>
      <c r="E440" s="8"/>
      <c r="G440" s="19"/>
    </row>
    <row r="441" spans="1:7" x14ac:dyDescent="0.35">
      <c r="A441" s="140"/>
      <c r="B441" s="8"/>
      <c r="C441" s="8"/>
      <c r="D441" s="8"/>
      <c r="E441" s="8"/>
      <c r="G441" s="19"/>
    </row>
    <row r="442" spans="1:7" x14ac:dyDescent="0.35">
      <c r="A442" s="140"/>
      <c r="B442" s="8"/>
      <c r="C442" s="8"/>
      <c r="D442" s="8"/>
      <c r="E442" s="8"/>
      <c r="G442" s="19"/>
    </row>
    <row r="443" spans="1:7" x14ac:dyDescent="0.35">
      <c r="A443" s="140"/>
      <c r="B443" s="8"/>
      <c r="C443" s="8"/>
      <c r="D443" s="8"/>
      <c r="E443" s="8"/>
      <c r="G443" s="19"/>
    </row>
    <row r="444" spans="1:7" x14ac:dyDescent="0.35">
      <c r="A444" s="140"/>
      <c r="B444" s="8"/>
      <c r="C444" s="8"/>
      <c r="D444" s="8"/>
      <c r="E444" s="8"/>
      <c r="G444" s="19"/>
    </row>
    <row r="445" spans="1:7" x14ac:dyDescent="0.35">
      <c r="A445" s="140"/>
      <c r="B445" s="8"/>
      <c r="C445" s="8"/>
      <c r="D445" s="8"/>
      <c r="E445" s="8"/>
      <c r="G445" s="19"/>
    </row>
    <row r="446" spans="1:7" x14ac:dyDescent="0.35">
      <c r="A446" s="140"/>
      <c r="B446" s="8"/>
      <c r="C446" s="8"/>
      <c r="D446" s="8"/>
      <c r="E446" s="8"/>
      <c r="G446" s="19"/>
    </row>
    <row r="447" spans="1:7" x14ac:dyDescent="0.35">
      <c r="A447" s="140"/>
      <c r="B447" s="8"/>
      <c r="C447" s="8"/>
      <c r="D447" s="8"/>
      <c r="E447" s="8"/>
      <c r="G447" s="19"/>
    </row>
    <row r="448" spans="1:7" x14ac:dyDescent="0.35">
      <c r="A448" s="140"/>
      <c r="B448" s="8"/>
      <c r="C448" s="8"/>
      <c r="D448" s="8"/>
      <c r="E448" s="8"/>
      <c r="G448" s="19"/>
    </row>
    <row r="449" spans="1:7" x14ac:dyDescent="0.35">
      <c r="A449" s="140"/>
      <c r="B449" s="8"/>
      <c r="C449" s="8"/>
      <c r="D449" s="8"/>
      <c r="E449" s="8"/>
      <c r="G449" s="19"/>
    </row>
    <row r="450" spans="1:7" x14ac:dyDescent="0.35">
      <c r="A450" s="140"/>
      <c r="B450" s="8"/>
      <c r="C450" s="8"/>
      <c r="D450" s="8"/>
      <c r="E450" s="8"/>
      <c r="G450" s="19"/>
    </row>
    <row r="451" spans="1:7" x14ac:dyDescent="0.35">
      <c r="A451" s="140"/>
      <c r="B451" s="8"/>
      <c r="C451" s="8"/>
      <c r="D451" s="8"/>
      <c r="E451" s="8"/>
      <c r="G451" s="19"/>
    </row>
    <row r="452" spans="1:7" x14ac:dyDescent="0.35">
      <c r="A452" s="140"/>
      <c r="B452" s="8"/>
      <c r="C452" s="8"/>
      <c r="D452" s="8"/>
      <c r="E452" s="8"/>
      <c r="G452" s="19"/>
    </row>
    <row r="453" spans="1:7" x14ac:dyDescent="0.35">
      <c r="A453" s="140"/>
      <c r="B453" s="8"/>
      <c r="C453" s="8"/>
      <c r="D453" s="8"/>
      <c r="E453" s="8"/>
      <c r="G453" s="19"/>
    </row>
    <row r="454" spans="1:7" x14ac:dyDescent="0.35">
      <c r="A454" s="140"/>
      <c r="B454" s="8"/>
      <c r="C454" s="8"/>
      <c r="D454" s="8"/>
      <c r="E454" s="8"/>
      <c r="G454" s="19"/>
    </row>
    <row r="455" spans="1:7" x14ac:dyDescent="0.35">
      <c r="A455" s="140"/>
      <c r="B455" s="8"/>
      <c r="C455" s="8"/>
      <c r="D455" s="8"/>
      <c r="E455" s="8"/>
      <c r="G455" s="19"/>
    </row>
    <row r="456" spans="1:7" x14ac:dyDescent="0.35">
      <c r="A456" s="140"/>
      <c r="B456" s="8"/>
      <c r="C456" s="8"/>
      <c r="D456" s="8"/>
      <c r="E456" s="8"/>
      <c r="G456" s="19"/>
    </row>
    <row r="457" spans="1:7" x14ac:dyDescent="0.35">
      <c r="A457" s="140"/>
      <c r="B457" s="8"/>
      <c r="C457" s="8"/>
      <c r="D457" s="8"/>
      <c r="E457" s="8"/>
      <c r="G457" s="19"/>
    </row>
    <row r="458" spans="1:7" x14ac:dyDescent="0.35">
      <c r="A458" s="140"/>
      <c r="B458" s="8"/>
      <c r="C458" s="8"/>
      <c r="D458" s="8"/>
      <c r="E458" s="8"/>
      <c r="G458" s="19"/>
    </row>
    <row r="459" spans="1:7" x14ac:dyDescent="0.35">
      <c r="A459" s="140"/>
      <c r="B459" s="8"/>
      <c r="C459" s="8"/>
      <c r="D459" s="8"/>
      <c r="E459" s="8"/>
      <c r="G459" s="19"/>
    </row>
    <row r="460" spans="1:7" x14ac:dyDescent="0.35">
      <c r="A460" s="140"/>
      <c r="B460" s="8"/>
      <c r="C460" s="8"/>
      <c r="D460" s="8"/>
      <c r="E460" s="8"/>
      <c r="G460" s="19"/>
    </row>
    <row r="461" spans="1:7" x14ac:dyDescent="0.35">
      <c r="A461" s="140"/>
      <c r="B461" s="8"/>
      <c r="C461" s="8"/>
      <c r="D461" s="8"/>
      <c r="E461" s="8"/>
      <c r="G461" s="19"/>
    </row>
    <row r="462" spans="1:7" x14ac:dyDescent="0.35">
      <c r="A462" s="140"/>
      <c r="B462" s="8"/>
      <c r="C462" s="8"/>
      <c r="D462" s="8"/>
      <c r="E462" s="8"/>
      <c r="G462" s="19"/>
    </row>
    <row r="463" spans="1:7" x14ac:dyDescent="0.35">
      <c r="A463" s="140"/>
      <c r="B463" s="8"/>
      <c r="C463" s="8"/>
      <c r="D463" s="8"/>
      <c r="E463" s="8"/>
      <c r="G463" s="19"/>
    </row>
    <row r="464" spans="1:7" x14ac:dyDescent="0.35">
      <c r="A464" s="140"/>
      <c r="B464" s="8"/>
      <c r="C464" s="8"/>
      <c r="D464" s="8"/>
      <c r="E464" s="8"/>
      <c r="G464" s="19"/>
    </row>
    <row r="465" spans="1:7" x14ac:dyDescent="0.35">
      <c r="A465" s="140"/>
      <c r="B465" s="8"/>
      <c r="C465" s="8"/>
      <c r="D465" s="8"/>
      <c r="E465" s="8"/>
      <c r="G465" s="19"/>
    </row>
    <row r="466" spans="1:7" x14ac:dyDescent="0.35">
      <c r="A466" s="140"/>
      <c r="B466" s="8"/>
      <c r="C466" s="8"/>
      <c r="D466" s="8"/>
      <c r="E466" s="8"/>
      <c r="G466" s="19"/>
    </row>
    <row r="467" spans="1:7" x14ac:dyDescent="0.35">
      <c r="A467" s="140"/>
      <c r="B467" s="8"/>
      <c r="C467" s="8"/>
      <c r="D467" s="8"/>
      <c r="E467" s="8"/>
      <c r="G467" s="19"/>
    </row>
    <row r="468" spans="1:7" x14ac:dyDescent="0.35">
      <c r="A468" s="140"/>
      <c r="B468" s="8"/>
      <c r="C468" s="8"/>
      <c r="D468" s="8"/>
      <c r="E468" s="8"/>
      <c r="G468" s="19"/>
    </row>
    <row r="469" spans="1:7" x14ac:dyDescent="0.35">
      <c r="A469" s="140"/>
      <c r="B469" s="8"/>
      <c r="C469" s="8"/>
      <c r="D469" s="8"/>
      <c r="E469" s="8"/>
      <c r="G469" s="19"/>
    </row>
    <row r="470" spans="1:7" x14ac:dyDescent="0.35">
      <c r="A470" s="140"/>
      <c r="B470" s="8"/>
      <c r="C470" s="8"/>
      <c r="D470" s="8"/>
      <c r="E470" s="8"/>
      <c r="G470" s="19"/>
    </row>
    <row r="471" spans="1:7" x14ac:dyDescent="0.35">
      <c r="A471" s="140"/>
      <c r="B471" s="8"/>
      <c r="C471" s="8"/>
      <c r="D471" s="8"/>
      <c r="E471" s="8"/>
      <c r="G471" s="19"/>
    </row>
    <row r="472" spans="1:7" x14ac:dyDescent="0.35">
      <c r="A472" s="140"/>
      <c r="B472" s="8"/>
      <c r="C472" s="8"/>
      <c r="D472" s="8"/>
      <c r="E472" s="8"/>
      <c r="G472" s="19"/>
    </row>
    <row r="473" spans="1:7" x14ac:dyDescent="0.35">
      <c r="A473" s="140"/>
      <c r="B473" s="8"/>
      <c r="C473" s="8"/>
      <c r="D473" s="8"/>
      <c r="E473" s="8"/>
      <c r="G473" s="19"/>
    </row>
    <row r="474" spans="1:7" x14ac:dyDescent="0.35">
      <c r="A474" s="140"/>
      <c r="B474" s="8"/>
      <c r="C474" s="8"/>
      <c r="D474" s="8"/>
      <c r="E474" s="8"/>
      <c r="G474" s="19"/>
    </row>
    <row r="475" spans="1:7" x14ac:dyDescent="0.35">
      <c r="A475" s="140"/>
      <c r="B475" s="8"/>
      <c r="C475" s="8"/>
      <c r="D475" s="8"/>
      <c r="E475" s="8"/>
      <c r="G475" s="19"/>
    </row>
    <row r="476" spans="1:7" x14ac:dyDescent="0.35">
      <c r="A476" s="140"/>
      <c r="B476" s="8"/>
      <c r="C476" s="8"/>
      <c r="D476" s="8"/>
      <c r="E476" s="8"/>
      <c r="G476" s="19"/>
    </row>
    <row r="477" spans="1:7" x14ac:dyDescent="0.35">
      <c r="A477" s="140"/>
      <c r="B477" s="8"/>
      <c r="C477" s="8"/>
      <c r="D477" s="8"/>
      <c r="E477" s="8"/>
      <c r="G477" s="19"/>
    </row>
    <row r="478" spans="1:7" x14ac:dyDescent="0.35">
      <c r="A478" s="140"/>
      <c r="B478" s="8"/>
      <c r="C478" s="8"/>
      <c r="D478" s="8"/>
      <c r="E478" s="8"/>
      <c r="G478" s="19"/>
    </row>
    <row r="479" spans="1:7" x14ac:dyDescent="0.35">
      <c r="A479" s="140"/>
      <c r="B479" s="8"/>
      <c r="C479" s="8"/>
      <c r="D479" s="8"/>
      <c r="E479" s="8"/>
      <c r="G479" s="19"/>
    </row>
    <row r="480" spans="1:7" x14ac:dyDescent="0.35">
      <c r="A480" s="140"/>
      <c r="B480" s="8"/>
      <c r="C480" s="8"/>
      <c r="D480" s="8"/>
      <c r="E480" s="8"/>
      <c r="G480" s="19"/>
    </row>
    <row r="481" spans="1:7" x14ac:dyDescent="0.35">
      <c r="A481" s="140"/>
      <c r="B481" s="8"/>
      <c r="C481" s="8"/>
      <c r="D481" s="8"/>
      <c r="E481" s="8"/>
      <c r="G481" s="19"/>
    </row>
    <row r="482" spans="1:7" x14ac:dyDescent="0.35">
      <c r="A482" s="140"/>
      <c r="B482" s="8"/>
      <c r="C482" s="8"/>
      <c r="D482" s="8"/>
      <c r="E482" s="8"/>
      <c r="G482" s="19"/>
    </row>
    <row r="483" spans="1:7" x14ac:dyDescent="0.35">
      <c r="A483" s="140"/>
      <c r="B483" s="8"/>
      <c r="C483" s="8"/>
      <c r="D483" s="8"/>
      <c r="E483" s="8"/>
      <c r="G483" s="19"/>
    </row>
    <row r="484" spans="1:7" x14ac:dyDescent="0.35">
      <c r="A484" s="140"/>
      <c r="B484" s="8"/>
      <c r="C484" s="8"/>
      <c r="D484" s="8"/>
      <c r="E484" s="8"/>
      <c r="G484" s="19"/>
    </row>
    <row r="485" spans="1:7" x14ac:dyDescent="0.35">
      <c r="A485" s="140"/>
      <c r="B485" s="8"/>
      <c r="C485" s="8"/>
      <c r="D485" s="8"/>
      <c r="E485" s="8"/>
      <c r="G485" s="19"/>
    </row>
    <row r="486" spans="1:7" x14ac:dyDescent="0.35">
      <c r="A486" s="140"/>
      <c r="B486" s="8"/>
      <c r="C486" s="8"/>
      <c r="D486" s="8"/>
      <c r="E486" s="8"/>
      <c r="G486" s="19"/>
    </row>
    <row r="487" spans="1:7" x14ac:dyDescent="0.35">
      <c r="A487" s="140"/>
      <c r="B487" s="8"/>
      <c r="C487" s="8"/>
      <c r="D487" s="8"/>
      <c r="E487" s="8"/>
      <c r="G487" s="19"/>
    </row>
    <row r="488" spans="1:7" x14ac:dyDescent="0.35">
      <c r="A488" s="140"/>
      <c r="B488" s="8"/>
      <c r="C488" s="8"/>
      <c r="D488" s="8"/>
      <c r="E488" s="8"/>
      <c r="G488" s="19"/>
    </row>
    <row r="489" spans="1:7" x14ac:dyDescent="0.35">
      <c r="A489" s="140"/>
      <c r="B489" s="8"/>
      <c r="C489" s="8"/>
      <c r="D489" s="8"/>
      <c r="E489" s="8"/>
      <c r="G489" s="19"/>
    </row>
    <row r="490" spans="1:7" x14ac:dyDescent="0.35">
      <c r="A490" s="140"/>
      <c r="B490" s="8"/>
      <c r="C490" s="8"/>
      <c r="D490" s="8"/>
      <c r="E490" s="8"/>
      <c r="G490" s="19"/>
    </row>
    <row r="491" spans="1:7" x14ac:dyDescent="0.35">
      <c r="A491" s="140"/>
      <c r="B491" s="8"/>
      <c r="C491" s="8"/>
      <c r="D491" s="8"/>
      <c r="E491" s="8"/>
      <c r="G491" s="19"/>
    </row>
    <row r="492" spans="1:7" x14ac:dyDescent="0.35">
      <c r="A492" s="140"/>
      <c r="B492" s="8"/>
      <c r="C492" s="8"/>
      <c r="D492" s="8"/>
      <c r="E492" s="8"/>
      <c r="G492" s="19"/>
    </row>
    <row r="493" spans="1:7" x14ac:dyDescent="0.35">
      <c r="A493" s="140"/>
      <c r="B493" s="8"/>
      <c r="C493" s="8"/>
      <c r="D493" s="8"/>
      <c r="E493" s="8"/>
      <c r="G493" s="19"/>
    </row>
    <row r="494" spans="1:7" x14ac:dyDescent="0.35">
      <c r="A494" s="140"/>
      <c r="B494" s="8"/>
      <c r="C494" s="8"/>
      <c r="D494" s="8"/>
      <c r="E494" s="8"/>
      <c r="G494" s="19"/>
    </row>
    <row r="495" spans="1:7" x14ac:dyDescent="0.35">
      <c r="A495" s="140"/>
      <c r="B495" s="8"/>
      <c r="C495" s="8"/>
      <c r="D495" s="8"/>
      <c r="E495" s="8"/>
      <c r="G495" s="19"/>
    </row>
    <row r="496" spans="1:7" x14ac:dyDescent="0.35">
      <c r="A496" s="140"/>
      <c r="B496" s="8"/>
      <c r="C496" s="8"/>
      <c r="D496" s="8"/>
      <c r="E496" s="8"/>
      <c r="G496" s="19"/>
    </row>
    <row r="497" spans="1:7" x14ac:dyDescent="0.35">
      <c r="A497" s="140"/>
      <c r="B497" s="8"/>
      <c r="C497" s="8"/>
      <c r="D497" s="8"/>
      <c r="E497" s="8"/>
      <c r="G497" s="19"/>
    </row>
    <row r="498" spans="1:7" x14ac:dyDescent="0.35">
      <c r="A498" s="140"/>
      <c r="B498" s="8"/>
      <c r="C498" s="8"/>
      <c r="D498" s="8"/>
      <c r="E498" s="8"/>
      <c r="G498" s="19"/>
    </row>
    <row r="499" spans="1:7" x14ac:dyDescent="0.35">
      <c r="A499" s="140"/>
      <c r="B499" s="8"/>
      <c r="C499" s="8"/>
      <c r="D499" s="8"/>
      <c r="E499" s="8"/>
      <c r="G499" s="19"/>
    </row>
    <row r="500" spans="1:7" x14ac:dyDescent="0.35">
      <c r="A500" s="140"/>
      <c r="B500" s="8"/>
      <c r="C500" s="8"/>
      <c r="D500" s="8"/>
      <c r="E500" s="8"/>
      <c r="G500" s="19"/>
    </row>
    <row r="501" spans="1:7" x14ac:dyDescent="0.35">
      <c r="A501" s="140"/>
      <c r="B501" s="8"/>
      <c r="C501" s="8"/>
      <c r="D501" s="8"/>
      <c r="E501" s="8"/>
      <c r="G501" s="19"/>
    </row>
    <row r="502" spans="1:7" x14ac:dyDescent="0.35">
      <c r="A502" s="140"/>
      <c r="B502" s="8"/>
      <c r="C502" s="8"/>
      <c r="D502" s="8"/>
      <c r="E502" s="8"/>
      <c r="G502" s="19"/>
    </row>
    <row r="503" spans="1:7" x14ac:dyDescent="0.35">
      <c r="A503" s="140"/>
      <c r="B503" s="8"/>
      <c r="C503" s="8"/>
      <c r="D503" s="8"/>
      <c r="E503" s="8"/>
      <c r="G503" s="19"/>
    </row>
    <row r="504" spans="1:7" x14ac:dyDescent="0.35">
      <c r="A504" s="140"/>
      <c r="B504" s="8"/>
      <c r="C504" s="8"/>
      <c r="D504" s="8"/>
      <c r="E504" s="8"/>
      <c r="G504" s="19"/>
    </row>
    <row r="505" spans="1:7" x14ac:dyDescent="0.35">
      <c r="A505" s="140"/>
      <c r="B505" s="8"/>
      <c r="C505" s="8"/>
      <c r="D505" s="8"/>
      <c r="E505" s="8"/>
      <c r="G505" s="19"/>
    </row>
    <row r="506" spans="1:7" x14ac:dyDescent="0.35">
      <c r="A506" s="140"/>
      <c r="B506" s="8"/>
      <c r="C506" s="8"/>
      <c r="D506" s="8"/>
      <c r="E506" s="8"/>
      <c r="G506" s="19"/>
    </row>
    <row r="507" spans="1:7" x14ac:dyDescent="0.35">
      <c r="A507" s="140"/>
      <c r="B507" s="8"/>
      <c r="C507" s="8"/>
      <c r="D507" s="8"/>
      <c r="E507" s="8"/>
      <c r="G507" s="19"/>
    </row>
    <row r="508" spans="1:7" x14ac:dyDescent="0.35">
      <c r="A508" s="140"/>
      <c r="B508" s="8"/>
      <c r="C508" s="8"/>
      <c r="D508" s="8"/>
      <c r="E508" s="8"/>
      <c r="G508" s="19"/>
    </row>
    <row r="509" spans="1:7" x14ac:dyDescent="0.35">
      <c r="A509" s="140"/>
      <c r="B509" s="8"/>
      <c r="C509" s="8"/>
      <c r="D509" s="8"/>
      <c r="E509" s="8"/>
      <c r="G509" s="19"/>
    </row>
    <row r="510" spans="1:7" x14ac:dyDescent="0.35">
      <c r="A510" s="140"/>
      <c r="B510" s="8"/>
      <c r="C510" s="8"/>
      <c r="D510" s="8"/>
      <c r="E510" s="8"/>
      <c r="G510" s="19"/>
    </row>
    <row r="511" spans="1:7" x14ac:dyDescent="0.35">
      <c r="A511" s="140"/>
      <c r="B511" s="8"/>
      <c r="C511" s="8"/>
      <c r="D511" s="8"/>
      <c r="E511" s="8"/>
      <c r="G511" s="19"/>
    </row>
    <row r="512" spans="1:7" x14ac:dyDescent="0.35">
      <c r="A512" s="140"/>
      <c r="B512" s="8"/>
      <c r="C512" s="8"/>
      <c r="D512" s="8"/>
      <c r="E512" s="8"/>
      <c r="G512" s="19"/>
    </row>
    <row r="513" spans="1:7" x14ac:dyDescent="0.35">
      <c r="A513" s="140"/>
      <c r="B513" s="8"/>
      <c r="C513" s="8"/>
      <c r="D513" s="8"/>
      <c r="E513" s="8"/>
      <c r="G513" s="19"/>
    </row>
    <row r="514" spans="1:7" x14ac:dyDescent="0.35">
      <c r="A514" s="140"/>
      <c r="B514" s="8"/>
      <c r="C514" s="8"/>
      <c r="D514" s="8"/>
      <c r="E514" s="8"/>
      <c r="G514" s="19"/>
    </row>
    <row r="515" spans="1:7" x14ac:dyDescent="0.35">
      <c r="A515" s="140"/>
      <c r="B515" s="8"/>
      <c r="C515" s="8"/>
      <c r="D515" s="8"/>
      <c r="E515" s="8"/>
      <c r="G515" s="19"/>
    </row>
    <row r="516" spans="1:7" x14ac:dyDescent="0.35">
      <c r="A516" s="140"/>
      <c r="B516" s="8"/>
      <c r="C516" s="8"/>
      <c r="D516" s="8"/>
      <c r="E516" s="8"/>
      <c r="G516" s="19"/>
    </row>
    <row r="517" spans="1:7" x14ac:dyDescent="0.35">
      <c r="A517" s="140"/>
      <c r="B517" s="8"/>
      <c r="C517" s="8"/>
      <c r="D517" s="8"/>
      <c r="E517" s="8"/>
      <c r="G517" s="19"/>
    </row>
    <row r="518" spans="1:7" x14ac:dyDescent="0.35">
      <c r="A518" s="140"/>
      <c r="B518" s="8"/>
      <c r="C518" s="8"/>
      <c r="D518" s="8"/>
      <c r="E518" s="8"/>
      <c r="G518" s="19"/>
    </row>
    <row r="519" spans="1:7" x14ac:dyDescent="0.35">
      <c r="A519" s="140"/>
      <c r="B519" s="8"/>
      <c r="C519" s="8"/>
      <c r="D519" s="8"/>
      <c r="E519" s="8"/>
      <c r="G519" s="19"/>
    </row>
    <row r="520" spans="1:7" x14ac:dyDescent="0.35">
      <c r="A520" s="140"/>
      <c r="B520" s="8"/>
      <c r="C520" s="8"/>
      <c r="D520" s="8"/>
      <c r="E520" s="8"/>
      <c r="G520" s="19"/>
    </row>
    <row r="521" spans="1:7" x14ac:dyDescent="0.35">
      <c r="A521" s="140"/>
      <c r="B521" s="8"/>
      <c r="C521" s="8"/>
      <c r="D521" s="8"/>
      <c r="E521" s="8"/>
      <c r="G521" s="19"/>
    </row>
    <row r="522" spans="1:7" x14ac:dyDescent="0.35">
      <c r="A522" s="140"/>
      <c r="B522" s="8"/>
      <c r="C522" s="8"/>
      <c r="D522" s="8"/>
      <c r="E522" s="8"/>
      <c r="G522" s="19"/>
    </row>
    <row r="523" spans="1:7" x14ac:dyDescent="0.35">
      <c r="A523" s="140"/>
      <c r="B523" s="8"/>
      <c r="C523" s="8"/>
      <c r="D523" s="8"/>
      <c r="E523" s="8"/>
      <c r="G523" s="19"/>
    </row>
    <row r="524" spans="1:7" x14ac:dyDescent="0.35">
      <c r="A524" s="140"/>
      <c r="B524" s="8"/>
      <c r="C524" s="8"/>
      <c r="D524" s="8"/>
      <c r="E524" s="8"/>
      <c r="G524" s="19"/>
    </row>
    <row r="525" spans="1:7" x14ac:dyDescent="0.35">
      <c r="A525" s="140"/>
      <c r="B525" s="8"/>
      <c r="C525" s="8"/>
      <c r="D525" s="8"/>
      <c r="E525" s="8"/>
      <c r="G525" s="19"/>
    </row>
    <row r="526" spans="1:7" x14ac:dyDescent="0.35">
      <c r="A526" s="140"/>
      <c r="B526" s="8"/>
      <c r="C526" s="8"/>
      <c r="D526" s="8"/>
      <c r="E526" s="8"/>
      <c r="G526" s="19"/>
    </row>
    <row r="527" spans="1:7" x14ac:dyDescent="0.35">
      <c r="A527" s="140"/>
      <c r="B527" s="8"/>
      <c r="C527" s="8"/>
      <c r="D527" s="8"/>
      <c r="E527" s="8"/>
      <c r="G527" s="19"/>
    </row>
    <row r="528" spans="1:7" x14ac:dyDescent="0.35">
      <c r="A528" s="140"/>
      <c r="B528" s="8"/>
      <c r="C528" s="8"/>
      <c r="D528" s="8"/>
      <c r="E528" s="8"/>
      <c r="G528" s="19"/>
    </row>
    <row r="529" spans="1:7" x14ac:dyDescent="0.35">
      <c r="A529" s="140"/>
      <c r="B529" s="8"/>
      <c r="C529" s="8"/>
      <c r="D529" s="8"/>
      <c r="E529" s="8"/>
      <c r="G529" s="19"/>
    </row>
    <row r="530" spans="1:7" x14ac:dyDescent="0.35">
      <c r="A530" s="140"/>
      <c r="B530" s="8"/>
      <c r="C530" s="8"/>
      <c r="D530" s="8"/>
      <c r="E530" s="8"/>
      <c r="G530" s="19"/>
    </row>
    <row r="531" spans="1:7" x14ac:dyDescent="0.35">
      <c r="A531" s="140"/>
      <c r="B531" s="8"/>
      <c r="C531" s="8"/>
      <c r="D531" s="8"/>
      <c r="E531" s="8"/>
      <c r="G531" s="19"/>
    </row>
    <row r="532" spans="1:7" x14ac:dyDescent="0.35">
      <c r="A532" s="140"/>
      <c r="B532" s="8"/>
      <c r="C532" s="8"/>
      <c r="D532" s="8"/>
      <c r="E532" s="8"/>
      <c r="G532" s="19"/>
    </row>
    <row r="533" spans="1:7" x14ac:dyDescent="0.35">
      <c r="A533" s="140"/>
      <c r="B533" s="8"/>
      <c r="C533" s="8"/>
      <c r="D533" s="8"/>
      <c r="E533" s="8"/>
      <c r="G533" s="19"/>
    </row>
    <row r="534" spans="1:7" x14ac:dyDescent="0.35">
      <c r="A534" s="140"/>
      <c r="B534" s="8"/>
      <c r="C534" s="8"/>
      <c r="D534" s="8"/>
      <c r="E534" s="8"/>
      <c r="G534" s="19"/>
    </row>
    <row r="535" spans="1:7" x14ac:dyDescent="0.35">
      <c r="A535" s="140"/>
      <c r="B535" s="8"/>
      <c r="C535" s="8"/>
      <c r="D535" s="8"/>
      <c r="E535" s="8"/>
      <c r="G535" s="19"/>
    </row>
    <row r="536" spans="1:7" x14ac:dyDescent="0.35">
      <c r="A536" s="140"/>
      <c r="B536" s="8"/>
      <c r="C536" s="8"/>
      <c r="D536" s="8"/>
      <c r="E536" s="8"/>
      <c r="G536" s="19"/>
    </row>
    <row r="537" spans="1:7" x14ac:dyDescent="0.35">
      <c r="A537" s="140"/>
      <c r="B537" s="8"/>
      <c r="C537" s="8"/>
      <c r="D537" s="8"/>
      <c r="E537" s="8"/>
      <c r="G537" s="19"/>
    </row>
    <row r="538" spans="1:7" x14ac:dyDescent="0.35">
      <c r="A538" s="140"/>
      <c r="B538" s="8"/>
      <c r="C538" s="8"/>
      <c r="D538" s="8"/>
      <c r="E538" s="8"/>
      <c r="G538" s="19"/>
    </row>
    <row r="539" spans="1:7" x14ac:dyDescent="0.35">
      <c r="A539" s="140"/>
      <c r="B539" s="8"/>
      <c r="C539" s="8"/>
      <c r="D539" s="8"/>
      <c r="E539" s="8"/>
      <c r="G539" s="19"/>
    </row>
    <row r="540" spans="1:7" x14ac:dyDescent="0.35">
      <c r="A540" s="140"/>
      <c r="B540" s="8"/>
      <c r="C540" s="8"/>
      <c r="D540" s="8"/>
      <c r="E540" s="8"/>
      <c r="G540" s="19"/>
    </row>
    <row r="541" spans="1:7" x14ac:dyDescent="0.35">
      <c r="A541" s="140"/>
      <c r="B541" s="8"/>
      <c r="C541" s="8"/>
      <c r="D541" s="8"/>
      <c r="E541" s="8"/>
      <c r="G541" s="19"/>
    </row>
    <row r="542" spans="1:7" x14ac:dyDescent="0.35">
      <c r="A542" s="140"/>
      <c r="B542" s="8"/>
      <c r="C542" s="8"/>
      <c r="D542" s="8"/>
      <c r="E542" s="8"/>
      <c r="G542" s="19"/>
    </row>
    <row r="543" spans="1:7" x14ac:dyDescent="0.35">
      <c r="A543" s="140"/>
      <c r="B543" s="8"/>
      <c r="C543" s="8"/>
      <c r="D543" s="8"/>
      <c r="E543" s="8"/>
      <c r="G543" s="19"/>
    </row>
    <row r="544" spans="1:7" x14ac:dyDescent="0.35">
      <c r="A544" s="140"/>
      <c r="B544" s="8"/>
      <c r="C544" s="8"/>
      <c r="D544" s="8"/>
      <c r="E544" s="8"/>
      <c r="G544" s="19"/>
    </row>
    <row r="545" spans="1:7" x14ac:dyDescent="0.35">
      <c r="A545" s="140"/>
      <c r="B545" s="8"/>
      <c r="C545" s="8"/>
      <c r="D545" s="8"/>
      <c r="E545" s="8"/>
      <c r="G545" s="19"/>
    </row>
    <row r="546" spans="1:7" x14ac:dyDescent="0.35">
      <c r="A546" s="140"/>
      <c r="B546" s="8"/>
      <c r="C546" s="8"/>
      <c r="D546" s="8"/>
      <c r="E546" s="8"/>
      <c r="G546" s="19"/>
    </row>
    <row r="547" spans="1:7" x14ac:dyDescent="0.35">
      <c r="A547" s="140"/>
      <c r="B547" s="8"/>
      <c r="C547" s="8"/>
      <c r="D547" s="8"/>
      <c r="E547" s="8"/>
      <c r="G547" s="19"/>
    </row>
    <row r="548" spans="1:7" x14ac:dyDescent="0.35">
      <c r="A548" s="140"/>
      <c r="B548" s="8"/>
      <c r="C548" s="8"/>
      <c r="D548" s="8"/>
      <c r="E548" s="8"/>
      <c r="G548" s="19"/>
    </row>
    <row r="549" spans="1:7" x14ac:dyDescent="0.35">
      <c r="A549" s="140"/>
      <c r="B549" s="8"/>
      <c r="C549" s="8"/>
      <c r="D549" s="8"/>
      <c r="E549" s="8"/>
      <c r="G549" s="19"/>
    </row>
    <row r="550" spans="1:7" x14ac:dyDescent="0.35">
      <c r="A550" s="140"/>
      <c r="B550" s="8"/>
      <c r="C550" s="8"/>
      <c r="D550" s="8"/>
      <c r="E550" s="8"/>
      <c r="G550" s="19"/>
    </row>
    <row r="551" spans="1:7" x14ac:dyDescent="0.35">
      <c r="A551" s="140"/>
      <c r="B551" s="8"/>
      <c r="C551" s="8"/>
      <c r="D551" s="8"/>
      <c r="E551" s="8"/>
      <c r="G551" s="19"/>
    </row>
    <row r="552" spans="1:7" x14ac:dyDescent="0.35">
      <c r="A552" s="140"/>
      <c r="B552" s="8"/>
      <c r="C552" s="8"/>
      <c r="D552" s="8"/>
      <c r="E552" s="8"/>
      <c r="G552" s="19"/>
    </row>
    <row r="553" spans="1:7" x14ac:dyDescent="0.35">
      <c r="A553" s="140"/>
      <c r="B553" s="8"/>
      <c r="C553" s="8"/>
      <c r="D553" s="8"/>
      <c r="E553" s="8"/>
      <c r="G553" s="19"/>
    </row>
    <row r="554" spans="1:7" x14ac:dyDescent="0.35">
      <c r="A554" s="140"/>
      <c r="B554" s="8"/>
      <c r="C554" s="8"/>
      <c r="D554" s="8"/>
      <c r="E554" s="8"/>
      <c r="G554" s="19"/>
    </row>
    <row r="555" spans="1:7" x14ac:dyDescent="0.35">
      <c r="A555" s="140"/>
      <c r="B555" s="8"/>
      <c r="C555" s="8"/>
      <c r="D555" s="8"/>
      <c r="E555" s="8"/>
      <c r="G555" s="19"/>
    </row>
    <row r="556" spans="1:7" x14ac:dyDescent="0.35">
      <c r="A556" s="140"/>
      <c r="B556" s="8"/>
      <c r="C556" s="8"/>
      <c r="D556" s="8"/>
      <c r="E556" s="8"/>
      <c r="G556" s="19"/>
    </row>
    <row r="557" spans="1:7" x14ac:dyDescent="0.35">
      <c r="A557" s="140"/>
      <c r="B557" s="8"/>
      <c r="C557" s="8"/>
      <c r="D557" s="8"/>
      <c r="E557" s="8"/>
      <c r="G557" s="19"/>
    </row>
    <row r="558" spans="1:7" x14ac:dyDescent="0.35">
      <c r="A558" s="140"/>
      <c r="B558" s="8"/>
      <c r="C558" s="8"/>
      <c r="D558" s="8"/>
      <c r="E558" s="8"/>
      <c r="G558" s="19"/>
    </row>
    <row r="559" spans="1:7" x14ac:dyDescent="0.35">
      <c r="A559" s="140"/>
      <c r="B559" s="8"/>
      <c r="C559" s="8"/>
      <c r="D559" s="8"/>
      <c r="E559" s="8"/>
      <c r="G559" s="19"/>
    </row>
    <row r="560" spans="1:7" x14ac:dyDescent="0.35">
      <c r="A560" s="140"/>
      <c r="B560" s="8"/>
      <c r="C560" s="8"/>
      <c r="D560" s="8"/>
      <c r="E560" s="8"/>
      <c r="G560" s="19"/>
    </row>
    <row r="561" spans="1:7" x14ac:dyDescent="0.35">
      <c r="A561" s="140"/>
      <c r="B561" s="8"/>
      <c r="C561" s="8"/>
      <c r="D561" s="8"/>
      <c r="E561" s="8"/>
      <c r="G561" s="19"/>
    </row>
    <row r="562" spans="1:7" x14ac:dyDescent="0.35">
      <c r="A562" s="140"/>
      <c r="B562" s="8"/>
      <c r="C562" s="8"/>
      <c r="D562" s="8"/>
      <c r="E562" s="8"/>
      <c r="G562" s="19"/>
    </row>
    <row r="563" spans="1:7" x14ac:dyDescent="0.35">
      <c r="A563" s="140"/>
      <c r="B563" s="8"/>
      <c r="C563" s="8"/>
      <c r="D563" s="8"/>
      <c r="E563" s="8"/>
      <c r="G563" s="19"/>
    </row>
    <row r="564" spans="1:7" x14ac:dyDescent="0.35">
      <c r="A564" s="140"/>
      <c r="B564" s="8"/>
      <c r="C564" s="8"/>
      <c r="D564" s="8"/>
      <c r="E564" s="8"/>
      <c r="G564" s="19"/>
    </row>
    <row r="565" spans="1:7" x14ac:dyDescent="0.35">
      <c r="A565" s="140"/>
      <c r="B565" s="8"/>
      <c r="C565" s="8"/>
      <c r="D565" s="8"/>
      <c r="E565" s="8"/>
      <c r="G565" s="19"/>
    </row>
    <row r="566" spans="1:7" x14ac:dyDescent="0.35">
      <c r="A566" s="140"/>
      <c r="B566" s="8"/>
      <c r="C566" s="8"/>
      <c r="D566" s="8"/>
      <c r="E566" s="8"/>
      <c r="G566" s="19"/>
    </row>
    <row r="567" spans="1:7" x14ac:dyDescent="0.35">
      <c r="A567" s="140"/>
      <c r="B567" s="8"/>
      <c r="C567" s="8"/>
      <c r="D567" s="8"/>
      <c r="E567" s="8"/>
      <c r="G567" s="19"/>
    </row>
    <row r="568" spans="1:7" x14ac:dyDescent="0.35">
      <c r="A568" s="140"/>
      <c r="B568" s="8"/>
      <c r="C568" s="8"/>
      <c r="D568" s="8"/>
      <c r="E568" s="8"/>
      <c r="G568" s="19"/>
    </row>
    <row r="569" spans="1:7" x14ac:dyDescent="0.35">
      <c r="A569" s="140"/>
      <c r="B569" s="8"/>
      <c r="C569" s="8"/>
      <c r="D569" s="8"/>
      <c r="E569" s="8"/>
      <c r="G569" s="19"/>
    </row>
    <row r="570" spans="1:7" x14ac:dyDescent="0.35">
      <c r="A570" s="140"/>
      <c r="B570" s="8"/>
      <c r="C570" s="8"/>
      <c r="D570" s="8"/>
      <c r="E570" s="8"/>
      <c r="G570" s="19"/>
    </row>
    <row r="571" spans="1:7" x14ac:dyDescent="0.35">
      <c r="A571" s="140"/>
      <c r="B571" s="8"/>
      <c r="C571" s="8"/>
      <c r="D571" s="8"/>
      <c r="E571" s="8"/>
      <c r="G571" s="19"/>
    </row>
    <row r="572" spans="1:7" x14ac:dyDescent="0.35">
      <c r="A572" s="140"/>
      <c r="B572" s="8"/>
      <c r="C572" s="8"/>
      <c r="D572" s="8"/>
      <c r="E572" s="8"/>
      <c r="G572" s="19"/>
    </row>
    <row r="573" spans="1:7" x14ac:dyDescent="0.35">
      <c r="A573" s="140"/>
      <c r="B573" s="8"/>
      <c r="C573" s="8"/>
      <c r="D573" s="8"/>
      <c r="E573" s="8"/>
      <c r="G573" s="19"/>
    </row>
    <row r="574" spans="1:7" x14ac:dyDescent="0.35">
      <c r="A574" s="140"/>
      <c r="B574" s="8"/>
      <c r="C574" s="8"/>
      <c r="D574" s="8"/>
      <c r="E574" s="8"/>
      <c r="G574" s="19"/>
    </row>
    <row r="575" spans="1:7" x14ac:dyDescent="0.35">
      <c r="A575" s="140"/>
      <c r="B575" s="8"/>
      <c r="C575" s="8"/>
      <c r="D575" s="8"/>
      <c r="E575" s="8"/>
      <c r="G575" s="19"/>
    </row>
    <row r="576" spans="1:7" x14ac:dyDescent="0.35">
      <c r="A576" s="140"/>
      <c r="B576" s="8"/>
      <c r="C576" s="8"/>
      <c r="D576" s="8"/>
      <c r="E576" s="8"/>
      <c r="G576" s="19"/>
    </row>
    <row r="577" spans="1:7" x14ac:dyDescent="0.35">
      <c r="A577" s="140"/>
      <c r="B577" s="8"/>
      <c r="C577" s="8"/>
      <c r="D577" s="8"/>
      <c r="E577" s="8"/>
      <c r="G577" s="19"/>
    </row>
    <row r="578" spans="1:7" x14ac:dyDescent="0.35">
      <c r="A578" s="140"/>
      <c r="B578" s="8"/>
      <c r="C578" s="8"/>
      <c r="D578" s="8"/>
      <c r="E578" s="8"/>
      <c r="G578" s="19"/>
    </row>
    <row r="579" spans="1:7" x14ac:dyDescent="0.35">
      <c r="A579" s="140"/>
      <c r="B579" s="8"/>
      <c r="C579" s="8"/>
      <c r="D579" s="8"/>
      <c r="E579" s="8"/>
      <c r="G579" s="19"/>
    </row>
    <row r="580" spans="1:7" x14ac:dyDescent="0.35">
      <c r="A580" s="140"/>
      <c r="B580" s="8"/>
      <c r="C580" s="8"/>
      <c r="D580" s="8"/>
      <c r="E580" s="8"/>
      <c r="G580" s="19"/>
    </row>
    <row r="581" spans="1:7" x14ac:dyDescent="0.35">
      <c r="A581" s="140"/>
      <c r="B581" s="8"/>
      <c r="C581" s="8"/>
      <c r="D581" s="8"/>
      <c r="E581" s="8"/>
      <c r="G581" s="19"/>
    </row>
    <row r="582" spans="1:7" x14ac:dyDescent="0.35">
      <c r="A582" s="140"/>
      <c r="B582" s="8"/>
      <c r="C582" s="8"/>
      <c r="D582" s="8"/>
      <c r="E582" s="8"/>
      <c r="G582" s="19"/>
    </row>
    <row r="583" spans="1:7" x14ac:dyDescent="0.35">
      <c r="A583" s="140"/>
      <c r="B583" s="8"/>
      <c r="C583" s="8"/>
      <c r="D583" s="8"/>
      <c r="E583" s="8"/>
      <c r="G583" s="19"/>
    </row>
    <row r="584" spans="1:7" x14ac:dyDescent="0.35">
      <c r="A584" s="140"/>
      <c r="B584" s="8"/>
      <c r="C584" s="8"/>
      <c r="D584" s="8"/>
      <c r="E584" s="8"/>
      <c r="G584" s="19"/>
    </row>
    <row r="585" spans="1:7" x14ac:dyDescent="0.35">
      <c r="A585" s="140"/>
      <c r="B585" s="8"/>
      <c r="C585" s="8"/>
      <c r="D585" s="8"/>
      <c r="E585" s="8"/>
      <c r="G585" s="19"/>
    </row>
    <row r="586" spans="1:7" x14ac:dyDescent="0.35">
      <c r="A586" s="140"/>
      <c r="B586" s="8"/>
      <c r="C586" s="8"/>
      <c r="D586" s="8"/>
      <c r="E586" s="8"/>
      <c r="G586" s="19"/>
    </row>
    <row r="587" spans="1:7" x14ac:dyDescent="0.35">
      <c r="A587" s="140"/>
      <c r="B587" s="8"/>
      <c r="C587" s="8"/>
      <c r="D587" s="8"/>
      <c r="E587" s="8"/>
      <c r="G587" s="19"/>
    </row>
    <row r="588" spans="1:7" x14ac:dyDescent="0.35">
      <c r="A588" s="140"/>
      <c r="B588" s="8"/>
      <c r="C588" s="8"/>
      <c r="D588" s="8"/>
      <c r="E588" s="8"/>
      <c r="G588" s="19"/>
    </row>
    <row r="589" spans="1:7" x14ac:dyDescent="0.35">
      <c r="A589" s="140"/>
      <c r="B589" s="8"/>
      <c r="C589" s="8"/>
      <c r="D589" s="8"/>
      <c r="E589" s="8"/>
      <c r="G589" s="19"/>
    </row>
    <row r="590" spans="1:7" x14ac:dyDescent="0.35">
      <c r="A590" s="140"/>
      <c r="B590" s="8"/>
      <c r="C590" s="8"/>
      <c r="D590" s="8"/>
      <c r="E590" s="8"/>
      <c r="G590" s="19"/>
    </row>
    <row r="591" spans="1:7" x14ac:dyDescent="0.35">
      <c r="A591" s="140"/>
      <c r="B591" s="8"/>
      <c r="C591" s="8"/>
      <c r="D591" s="8"/>
      <c r="E591" s="8"/>
      <c r="G591" s="19"/>
    </row>
    <row r="592" spans="1:7" x14ac:dyDescent="0.35">
      <c r="A592" s="140"/>
      <c r="B592" s="8"/>
      <c r="C592" s="8"/>
      <c r="D592" s="8"/>
      <c r="E592" s="8"/>
      <c r="G592" s="19"/>
    </row>
    <row r="593" spans="1:7" x14ac:dyDescent="0.35">
      <c r="A593" s="140"/>
      <c r="B593" s="8"/>
      <c r="C593" s="8"/>
      <c r="D593" s="8"/>
      <c r="E593" s="8"/>
      <c r="G593" s="19"/>
    </row>
    <row r="594" spans="1:7" x14ac:dyDescent="0.35">
      <c r="A594" s="140"/>
      <c r="B594" s="8"/>
      <c r="C594" s="8"/>
      <c r="D594" s="8"/>
      <c r="E594" s="8"/>
      <c r="G594" s="19"/>
    </row>
    <row r="595" spans="1:7" x14ac:dyDescent="0.35">
      <c r="A595" s="140"/>
      <c r="B595" s="8"/>
      <c r="C595" s="8"/>
      <c r="D595" s="8"/>
      <c r="E595" s="8"/>
      <c r="G595" s="19"/>
    </row>
    <row r="596" spans="1:7" x14ac:dyDescent="0.35">
      <c r="A596" s="140"/>
      <c r="B596" s="8"/>
      <c r="C596" s="8"/>
      <c r="D596" s="8"/>
      <c r="E596" s="8"/>
      <c r="G596" s="19"/>
    </row>
    <row r="597" spans="1:7" x14ac:dyDescent="0.35">
      <c r="A597" s="140"/>
      <c r="B597" s="8"/>
      <c r="C597" s="8"/>
      <c r="D597" s="8"/>
      <c r="E597" s="8"/>
      <c r="G597" s="19"/>
    </row>
    <row r="598" spans="1:7" x14ac:dyDescent="0.35">
      <c r="A598" s="140"/>
      <c r="B598" s="8"/>
      <c r="C598" s="8"/>
      <c r="D598" s="8"/>
      <c r="E598" s="8"/>
      <c r="G598" s="19"/>
    </row>
    <row r="599" spans="1:7" x14ac:dyDescent="0.35">
      <c r="A599" s="140"/>
      <c r="B599" s="8"/>
      <c r="C599" s="8"/>
      <c r="D599" s="8"/>
      <c r="E599" s="8"/>
      <c r="G599" s="19"/>
    </row>
    <row r="600" spans="1:7" x14ac:dyDescent="0.35">
      <c r="A600" s="140"/>
      <c r="B600" s="8"/>
      <c r="C600" s="8"/>
      <c r="D600" s="8"/>
      <c r="E600" s="8"/>
      <c r="G600" s="19"/>
    </row>
    <row r="601" spans="1:7" x14ac:dyDescent="0.35">
      <c r="A601" s="140"/>
      <c r="B601" s="8"/>
      <c r="C601" s="8"/>
      <c r="D601" s="8"/>
      <c r="E601" s="8"/>
      <c r="G601" s="19"/>
    </row>
    <row r="602" spans="1:7" x14ac:dyDescent="0.35">
      <c r="A602" s="140"/>
      <c r="B602" s="8"/>
      <c r="C602" s="8"/>
      <c r="D602" s="8"/>
      <c r="E602" s="8"/>
      <c r="G602" s="19"/>
    </row>
    <row r="603" spans="1:7" x14ac:dyDescent="0.35">
      <c r="A603" s="140"/>
      <c r="B603" s="8"/>
      <c r="C603" s="8"/>
      <c r="D603" s="8"/>
      <c r="E603" s="8"/>
      <c r="G603" s="19"/>
    </row>
    <row r="604" spans="1:7" x14ac:dyDescent="0.35">
      <c r="A604" s="140"/>
      <c r="B604" s="8"/>
      <c r="C604" s="8"/>
      <c r="D604" s="8"/>
      <c r="E604" s="8"/>
      <c r="G604" s="19"/>
    </row>
    <row r="605" spans="1:7" x14ac:dyDescent="0.35">
      <c r="A605" s="140"/>
      <c r="B605" s="8"/>
      <c r="C605" s="8"/>
      <c r="D605" s="8"/>
      <c r="E605" s="8"/>
      <c r="G605" s="19"/>
    </row>
    <row r="606" spans="1:7" x14ac:dyDescent="0.35">
      <c r="A606" s="140"/>
      <c r="B606" s="8"/>
      <c r="C606" s="8"/>
      <c r="D606" s="8"/>
      <c r="E606" s="8"/>
      <c r="G606" s="19"/>
    </row>
    <row r="607" spans="1:7" x14ac:dyDescent="0.35">
      <c r="A607" s="140"/>
      <c r="B607" s="8"/>
      <c r="C607" s="8"/>
      <c r="D607" s="8"/>
      <c r="E607" s="8"/>
      <c r="G607" s="19"/>
    </row>
    <row r="608" spans="1:7" x14ac:dyDescent="0.35">
      <c r="A608" s="140"/>
      <c r="B608" s="8"/>
      <c r="C608" s="8"/>
      <c r="D608" s="8"/>
      <c r="E608" s="8"/>
      <c r="G608" s="19"/>
    </row>
    <row r="609" spans="1:7" x14ac:dyDescent="0.35">
      <c r="A609" s="140"/>
      <c r="B609" s="8"/>
      <c r="C609" s="8"/>
      <c r="D609" s="8"/>
      <c r="E609" s="8"/>
      <c r="G609" s="19"/>
    </row>
    <row r="610" spans="1:7" x14ac:dyDescent="0.35">
      <c r="A610" s="140"/>
      <c r="B610" s="8"/>
      <c r="C610" s="8"/>
      <c r="D610" s="8"/>
      <c r="E610" s="8"/>
      <c r="G610" s="19"/>
    </row>
    <row r="611" spans="1:7" x14ac:dyDescent="0.35">
      <c r="A611" s="140"/>
      <c r="B611" s="8"/>
      <c r="C611" s="8"/>
      <c r="D611" s="8"/>
      <c r="E611" s="8"/>
      <c r="G611" s="19"/>
    </row>
    <row r="612" spans="1:7" x14ac:dyDescent="0.35">
      <c r="A612" s="140"/>
      <c r="B612" s="8"/>
      <c r="C612" s="8"/>
      <c r="D612" s="8"/>
      <c r="E612" s="8"/>
      <c r="G612" s="19"/>
    </row>
    <row r="613" spans="1:7" x14ac:dyDescent="0.35">
      <c r="A613" s="140"/>
      <c r="B613" s="8"/>
      <c r="C613" s="8"/>
      <c r="D613" s="8"/>
      <c r="E613" s="8"/>
      <c r="G613" s="19"/>
    </row>
    <row r="614" spans="1:7" x14ac:dyDescent="0.35">
      <c r="A614" s="140"/>
      <c r="B614" s="8"/>
      <c r="C614" s="8"/>
      <c r="D614" s="8"/>
      <c r="E614" s="8"/>
      <c r="G614" s="19"/>
    </row>
    <row r="615" spans="1:7" x14ac:dyDescent="0.35">
      <c r="A615" s="140"/>
      <c r="B615" s="8"/>
      <c r="C615" s="8"/>
      <c r="D615" s="8"/>
      <c r="E615" s="8"/>
      <c r="G615" s="19"/>
    </row>
    <row r="616" spans="1:7" x14ac:dyDescent="0.35">
      <c r="A616" s="140"/>
      <c r="B616" s="8"/>
      <c r="C616" s="8"/>
      <c r="D616" s="8"/>
      <c r="E616" s="8"/>
      <c r="G616" s="19"/>
    </row>
    <row r="617" spans="1:7" x14ac:dyDescent="0.35">
      <c r="A617" s="140"/>
      <c r="B617" s="8"/>
      <c r="C617" s="8"/>
      <c r="D617" s="8"/>
      <c r="E617" s="8"/>
      <c r="G617" s="19"/>
    </row>
    <row r="618" spans="1:7" x14ac:dyDescent="0.35">
      <c r="A618" s="140"/>
      <c r="B618" s="8"/>
      <c r="C618" s="8"/>
      <c r="D618" s="8"/>
      <c r="E618" s="8"/>
      <c r="G618" s="19"/>
    </row>
    <row r="619" spans="1:7" x14ac:dyDescent="0.35">
      <c r="A619" s="140"/>
      <c r="B619" s="8"/>
      <c r="C619" s="8"/>
      <c r="D619" s="8"/>
      <c r="E619" s="8"/>
      <c r="G619" s="19"/>
    </row>
    <row r="620" spans="1:7" x14ac:dyDescent="0.35">
      <c r="A620" s="140"/>
      <c r="B620" s="8"/>
      <c r="C620" s="8"/>
      <c r="D620" s="8"/>
      <c r="E620" s="8"/>
      <c r="G620" s="19"/>
    </row>
    <row r="621" spans="1:7" x14ac:dyDescent="0.35">
      <c r="A621" s="140"/>
      <c r="B621" s="8"/>
      <c r="C621" s="8"/>
      <c r="D621" s="8"/>
      <c r="E621" s="8"/>
      <c r="G621" s="19"/>
    </row>
    <row r="622" spans="1:7" x14ac:dyDescent="0.35">
      <c r="A622" s="140"/>
      <c r="B622" s="8"/>
      <c r="C622" s="8"/>
      <c r="D622" s="8"/>
      <c r="E622" s="8"/>
      <c r="G622" s="19"/>
    </row>
    <row r="623" spans="1:7" x14ac:dyDescent="0.35">
      <c r="A623" s="140"/>
      <c r="B623" s="8"/>
      <c r="C623" s="8"/>
      <c r="D623" s="8"/>
      <c r="E623" s="8"/>
      <c r="G623" s="19"/>
    </row>
    <row r="624" spans="1:7" x14ac:dyDescent="0.35">
      <c r="A624" s="140"/>
      <c r="B624" s="8"/>
      <c r="C624" s="8"/>
      <c r="D624" s="8"/>
      <c r="E624" s="8"/>
      <c r="G624" s="19"/>
    </row>
    <row r="625" spans="1:7" x14ac:dyDescent="0.35">
      <c r="A625" s="140"/>
      <c r="B625" s="8"/>
      <c r="C625" s="8"/>
      <c r="D625" s="8"/>
      <c r="E625" s="8"/>
      <c r="G625" s="19"/>
    </row>
    <row r="626" spans="1:7" x14ac:dyDescent="0.35">
      <c r="A626" s="140"/>
      <c r="B626" s="8"/>
      <c r="C626" s="8"/>
      <c r="D626" s="8"/>
      <c r="E626" s="8"/>
      <c r="G626" s="19"/>
    </row>
    <row r="627" spans="1:7" x14ac:dyDescent="0.35">
      <c r="A627" s="140"/>
      <c r="B627" s="8"/>
      <c r="C627" s="8"/>
      <c r="D627" s="8"/>
      <c r="E627" s="8"/>
      <c r="G627" s="19"/>
    </row>
    <row r="628" spans="1:7" x14ac:dyDescent="0.35">
      <c r="A628" s="140"/>
      <c r="B628" s="8"/>
      <c r="C628" s="8"/>
      <c r="D628" s="8"/>
      <c r="E628" s="8"/>
      <c r="G628" s="19"/>
    </row>
    <row r="629" spans="1:7" x14ac:dyDescent="0.35">
      <c r="A629" s="140"/>
      <c r="B629" s="8"/>
      <c r="C629" s="8"/>
      <c r="D629" s="8"/>
      <c r="E629" s="8"/>
      <c r="G629" s="19"/>
    </row>
    <row r="630" spans="1:7" x14ac:dyDescent="0.35">
      <c r="A630" s="140"/>
      <c r="B630" s="8"/>
      <c r="C630" s="8"/>
      <c r="D630" s="8"/>
      <c r="E630" s="8"/>
      <c r="G630" s="19"/>
    </row>
    <row r="631" spans="1:7" x14ac:dyDescent="0.35">
      <c r="A631" s="140"/>
      <c r="B631" s="8"/>
      <c r="C631" s="8"/>
      <c r="D631" s="8"/>
      <c r="E631" s="8"/>
      <c r="G631" s="19"/>
    </row>
    <row r="632" spans="1:7" x14ac:dyDescent="0.35">
      <c r="A632" s="140"/>
      <c r="B632" s="8"/>
      <c r="C632" s="8"/>
      <c r="D632" s="8"/>
      <c r="E632" s="8"/>
      <c r="G632" s="19"/>
    </row>
    <row r="633" spans="1:7" x14ac:dyDescent="0.35">
      <c r="A633" s="140"/>
      <c r="B633" s="8"/>
      <c r="C633" s="8"/>
      <c r="D633" s="8"/>
      <c r="E633" s="8"/>
      <c r="G633" s="19"/>
    </row>
    <row r="634" spans="1:7" x14ac:dyDescent="0.35">
      <c r="A634" s="140"/>
      <c r="B634" s="8"/>
      <c r="C634" s="8"/>
      <c r="D634" s="8"/>
      <c r="E634" s="8"/>
      <c r="G634" s="19"/>
    </row>
    <row r="635" spans="1:7" x14ac:dyDescent="0.35">
      <c r="A635" s="140"/>
      <c r="B635" s="8"/>
      <c r="C635" s="8"/>
      <c r="D635" s="8"/>
      <c r="E635" s="8"/>
      <c r="G635" s="19"/>
    </row>
    <row r="636" spans="1:7" x14ac:dyDescent="0.35">
      <c r="A636" s="140"/>
      <c r="B636" s="8"/>
      <c r="C636" s="8"/>
      <c r="D636" s="8"/>
      <c r="E636" s="8"/>
      <c r="G636" s="19"/>
    </row>
    <row r="637" spans="1:7" x14ac:dyDescent="0.35">
      <c r="A637" s="140"/>
      <c r="B637" s="8"/>
      <c r="C637" s="8"/>
      <c r="D637" s="8"/>
      <c r="E637" s="8"/>
      <c r="G637" s="19"/>
    </row>
    <row r="638" spans="1:7" x14ac:dyDescent="0.35">
      <c r="A638" s="140"/>
      <c r="B638" s="8"/>
      <c r="C638" s="8"/>
      <c r="D638" s="8"/>
      <c r="E638" s="8"/>
      <c r="G638" s="19"/>
    </row>
    <row r="639" spans="1:7" x14ac:dyDescent="0.35">
      <c r="A639" s="140"/>
      <c r="B639" s="8"/>
      <c r="C639" s="8"/>
      <c r="D639" s="8"/>
      <c r="E639" s="8"/>
      <c r="G639" s="19"/>
    </row>
    <row r="640" spans="1:7" x14ac:dyDescent="0.35">
      <c r="A640" s="140"/>
      <c r="B640" s="8"/>
      <c r="C640" s="8"/>
      <c r="D640" s="8"/>
      <c r="E640" s="8"/>
      <c r="G640" s="19"/>
    </row>
    <row r="641" spans="1:7" x14ac:dyDescent="0.35">
      <c r="A641" s="140"/>
      <c r="B641" s="8"/>
      <c r="C641" s="8"/>
      <c r="D641" s="8"/>
      <c r="E641" s="8"/>
      <c r="G641" s="19"/>
    </row>
    <row r="642" spans="1:7" x14ac:dyDescent="0.35">
      <c r="A642" s="140"/>
      <c r="B642" s="8"/>
      <c r="C642" s="8"/>
      <c r="D642" s="8"/>
      <c r="E642" s="8"/>
      <c r="G642" s="19"/>
    </row>
    <row r="643" spans="1:7" x14ac:dyDescent="0.35">
      <c r="A643" s="140"/>
      <c r="B643" s="8"/>
      <c r="C643" s="8"/>
      <c r="D643" s="8"/>
      <c r="E643" s="8"/>
      <c r="G643" s="19"/>
    </row>
    <row r="644" spans="1:7" x14ac:dyDescent="0.35">
      <c r="A644" s="140"/>
      <c r="B644" s="8"/>
      <c r="C644" s="8"/>
      <c r="D644" s="8"/>
      <c r="E644" s="8"/>
      <c r="G644" s="19"/>
    </row>
    <row r="645" spans="1:7" x14ac:dyDescent="0.35">
      <c r="A645" s="140"/>
      <c r="B645" s="8"/>
      <c r="C645" s="8"/>
      <c r="D645" s="8"/>
      <c r="E645" s="8"/>
      <c r="G645" s="19"/>
    </row>
    <row r="646" spans="1:7" x14ac:dyDescent="0.35">
      <c r="A646" s="140"/>
      <c r="B646" s="8"/>
      <c r="C646" s="8"/>
      <c r="D646" s="8"/>
      <c r="E646" s="8"/>
      <c r="G646" s="19"/>
    </row>
    <row r="647" spans="1:7" x14ac:dyDescent="0.35">
      <c r="A647" s="140"/>
      <c r="B647" s="8"/>
      <c r="C647" s="8"/>
      <c r="D647" s="8"/>
      <c r="E647" s="8"/>
      <c r="G647" s="19"/>
    </row>
    <row r="648" spans="1:7" x14ac:dyDescent="0.35">
      <c r="A648" s="140"/>
      <c r="B648" s="8"/>
      <c r="C648" s="8"/>
      <c r="D648" s="8"/>
      <c r="E648" s="8"/>
      <c r="G648" s="19"/>
    </row>
    <row r="649" spans="1:7" x14ac:dyDescent="0.35">
      <c r="A649" s="140"/>
      <c r="B649" s="8"/>
      <c r="C649" s="8"/>
      <c r="D649" s="8"/>
      <c r="E649" s="8"/>
      <c r="G649" s="19"/>
    </row>
    <row r="650" spans="1:7" x14ac:dyDescent="0.35">
      <c r="A650" s="140"/>
      <c r="B650" s="8"/>
      <c r="C650" s="8"/>
      <c r="D650" s="8"/>
      <c r="E650" s="8"/>
      <c r="G650" s="19"/>
    </row>
    <row r="651" spans="1:7" x14ac:dyDescent="0.35">
      <c r="A651" s="140"/>
      <c r="B651" s="8"/>
      <c r="C651" s="8"/>
      <c r="D651" s="8"/>
      <c r="E651" s="8"/>
      <c r="G651" s="19"/>
    </row>
    <row r="652" spans="1:7" x14ac:dyDescent="0.35">
      <c r="A652" s="140"/>
      <c r="B652" s="8"/>
      <c r="C652" s="8"/>
      <c r="D652" s="8"/>
      <c r="E652" s="8"/>
      <c r="G652" s="19"/>
    </row>
    <row r="653" spans="1:7" x14ac:dyDescent="0.35">
      <c r="A653" s="140"/>
      <c r="B653" s="8"/>
      <c r="C653" s="8"/>
      <c r="D653" s="8"/>
      <c r="E653" s="8"/>
      <c r="G653" s="19"/>
    </row>
    <row r="654" spans="1:7" x14ac:dyDescent="0.35">
      <c r="A654" s="140"/>
      <c r="B654" s="8"/>
      <c r="C654" s="8"/>
      <c r="D654" s="8"/>
      <c r="E654" s="8"/>
      <c r="G654" s="19"/>
    </row>
    <row r="655" spans="1:7" x14ac:dyDescent="0.35">
      <c r="A655" s="140"/>
      <c r="B655" s="8"/>
      <c r="C655" s="8"/>
      <c r="D655" s="8"/>
      <c r="E655" s="8"/>
      <c r="G655" s="19"/>
    </row>
    <row r="656" spans="1:7" x14ac:dyDescent="0.35">
      <c r="A656" s="140"/>
      <c r="B656" s="8"/>
      <c r="C656" s="8"/>
      <c r="D656" s="8"/>
      <c r="E656" s="8"/>
      <c r="G656" s="19"/>
    </row>
    <row r="657" spans="1:7" x14ac:dyDescent="0.35">
      <c r="A657" s="140"/>
      <c r="B657" s="8"/>
      <c r="C657" s="8"/>
      <c r="D657" s="8"/>
      <c r="E657" s="8"/>
      <c r="G657" s="19"/>
    </row>
    <row r="658" spans="1:7" x14ac:dyDescent="0.35">
      <c r="A658" s="140"/>
      <c r="B658" s="8"/>
      <c r="C658" s="8"/>
      <c r="D658" s="8"/>
      <c r="E658" s="8"/>
      <c r="G658" s="19"/>
    </row>
    <row r="659" spans="1:7" x14ac:dyDescent="0.35">
      <c r="A659" s="140"/>
      <c r="B659" s="8"/>
      <c r="C659" s="8"/>
      <c r="D659" s="8"/>
      <c r="E659" s="8"/>
      <c r="G659" s="19"/>
    </row>
    <row r="660" spans="1:7" x14ac:dyDescent="0.35">
      <c r="A660" s="140"/>
      <c r="B660" s="8"/>
      <c r="C660" s="8"/>
      <c r="D660" s="8"/>
      <c r="E660" s="8"/>
      <c r="G660" s="19"/>
    </row>
    <row r="661" spans="1:7" x14ac:dyDescent="0.35">
      <c r="A661" s="140"/>
      <c r="B661" s="8"/>
      <c r="C661" s="8"/>
      <c r="D661" s="8"/>
      <c r="E661" s="8"/>
      <c r="G661" s="19"/>
    </row>
    <row r="662" spans="1:7" x14ac:dyDescent="0.35">
      <c r="A662" s="140"/>
      <c r="B662" s="8"/>
      <c r="C662" s="8"/>
      <c r="D662" s="8"/>
      <c r="E662" s="8"/>
      <c r="G662" s="19"/>
    </row>
    <row r="663" spans="1:7" x14ac:dyDescent="0.35">
      <c r="A663" s="140"/>
      <c r="B663" s="8"/>
      <c r="C663" s="8"/>
      <c r="D663" s="8"/>
      <c r="E663" s="8"/>
      <c r="G663" s="19"/>
    </row>
    <row r="664" spans="1:7" x14ac:dyDescent="0.35">
      <c r="A664" s="140"/>
      <c r="B664" s="8"/>
      <c r="C664" s="8"/>
      <c r="D664" s="8"/>
      <c r="E664" s="8"/>
      <c r="G664" s="19"/>
    </row>
    <row r="665" spans="1:7" x14ac:dyDescent="0.35">
      <c r="A665" s="140"/>
      <c r="B665" s="8"/>
      <c r="C665" s="8"/>
      <c r="D665" s="8"/>
      <c r="E665" s="8"/>
      <c r="G665" s="19"/>
    </row>
    <row r="666" spans="1:7" x14ac:dyDescent="0.35">
      <c r="A666" s="140"/>
      <c r="B666" s="8"/>
      <c r="C666" s="8"/>
      <c r="D666" s="8"/>
      <c r="E666" s="8"/>
      <c r="G666" s="19"/>
    </row>
    <row r="667" spans="1:7" x14ac:dyDescent="0.35">
      <c r="A667" s="140"/>
      <c r="B667" s="8"/>
      <c r="C667" s="8"/>
      <c r="D667" s="8"/>
      <c r="E667" s="8"/>
      <c r="G667" s="19"/>
    </row>
    <row r="668" spans="1:7" x14ac:dyDescent="0.35">
      <c r="A668" s="140"/>
      <c r="B668" s="8"/>
      <c r="C668" s="8"/>
      <c r="D668" s="8"/>
      <c r="E668" s="8"/>
      <c r="G668" s="19"/>
    </row>
    <row r="669" spans="1:7" x14ac:dyDescent="0.35">
      <c r="A669" s="140"/>
      <c r="B669" s="8"/>
      <c r="C669" s="8"/>
      <c r="D669" s="8"/>
      <c r="E669" s="8"/>
      <c r="G669" s="19"/>
    </row>
    <row r="670" spans="1:7" x14ac:dyDescent="0.35">
      <c r="A670" s="140"/>
      <c r="B670" s="8"/>
      <c r="C670" s="8"/>
      <c r="D670" s="8"/>
      <c r="E670" s="8"/>
      <c r="G670" s="19"/>
    </row>
    <row r="671" spans="1:7" x14ac:dyDescent="0.35">
      <c r="A671" s="140"/>
      <c r="B671" s="8"/>
      <c r="C671" s="8"/>
      <c r="D671" s="8"/>
      <c r="E671" s="8"/>
      <c r="G671" s="19"/>
    </row>
    <row r="672" spans="1:7" x14ac:dyDescent="0.35">
      <c r="A672" s="140"/>
      <c r="B672" s="8"/>
      <c r="C672" s="8"/>
      <c r="D672" s="8"/>
      <c r="E672" s="8"/>
      <c r="G672" s="19"/>
    </row>
    <row r="673" spans="1:7" x14ac:dyDescent="0.35">
      <c r="A673" s="140"/>
      <c r="B673" s="8"/>
      <c r="C673" s="8"/>
      <c r="D673" s="8"/>
      <c r="E673" s="8"/>
      <c r="G673" s="19"/>
    </row>
    <row r="674" spans="1:7" x14ac:dyDescent="0.35">
      <c r="A674" s="140"/>
      <c r="B674" s="8"/>
      <c r="C674" s="8"/>
      <c r="D674" s="8"/>
      <c r="E674" s="8"/>
      <c r="G674" s="19"/>
    </row>
    <row r="675" spans="1:7" x14ac:dyDescent="0.35">
      <c r="A675" s="140"/>
      <c r="B675" s="8"/>
      <c r="C675" s="8"/>
      <c r="D675" s="8"/>
      <c r="E675" s="8"/>
      <c r="G675" s="19"/>
    </row>
    <row r="676" spans="1:7" x14ac:dyDescent="0.35">
      <c r="A676" s="140"/>
      <c r="B676" s="8"/>
      <c r="C676" s="8"/>
      <c r="D676" s="8"/>
      <c r="E676" s="8"/>
      <c r="G676" s="19"/>
    </row>
    <row r="677" spans="1:7" x14ac:dyDescent="0.35">
      <c r="A677" s="140"/>
      <c r="B677" s="8"/>
      <c r="C677" s="8"/>
      <c r="D677" s="8"/>
      <c r="E677" s="8"/>
      <c r="G677" s="19"/>
    </row>
    <row r="678" spans="1:7" x14ac:dyDescent="0.35">
      <c r="A678" s="140"/>
      <c r="B678" s="8"/>
      <c r="C678" s="8"/>
      <c r="D678" s="8"/>
      <c r="E678" s="8"/>
      <c r="G678" s="19"/>
    </row>
    <row r="679" spans="1:7" x14ac:dyDescent="0.35">
      <c r="A679" s="140"/>
      <c r="B679" s="8"/>
      <c r="C679" s="8"/>
      <c r="D679" s="8"/>
      <c r="E679" s="8"/>
      <c r="G679" s="19"/>
    </row>
    <row r="680" spans="1:7" x14ac:dyDescent="0.35">
      <c r="A680" s="140"/>
      <c r="B680" s="8"/>
      <c r="C680" s="8"/>
      <c r="D680" s="8"/>
      <c r="E680" s="8"/>
      <c r="G680" s="19"/>
    </row>
    <row r="681" spans="1:7" x14ac:dyDescent="0.35">
      <c r="A681" s="140"/>
      <c r="B681" s="8"/>
      <c r="C681" s="8"/>
      <c r="D681" s="8"/>
      <c r="E681" s="8"/>
      <c r="G681" s="19"/>
    </row>
    <row r="682" spans="1:7" x14ac:dyDescent="0.35">
      <c r="A682" s="140"/>
      <c r="B682" s="8"/>
      <c r="C682" s="8"/>
      <c r="D682" s="8"/>
      <c r="E682" s="8"/>
      <c r="G682" s="19"/>
    </row>
    <row r="683" spans="1:7" x14ac:dyDescent="0.35">
      <c r="A683" s="140"/>
      <c r="B683" s="8"/>
      <c r="C683" s="8"/>
      <c r="D683" s="8"/>
      <c r="E683" s="8"/>
      <c r="G683" s="19"/>
    </row>
    <row r="684" spans="1:7" x14ac:dyDescent="0.35">
      <c r="A684" s="140"/>
      <c r="B684" s="8"/>
      <c r="C684" s="8"/>
      <c r="D684" s="8"/>
      <c r="E684" s="8"/>
      <c r="G684" s="19"/>
    </row>
    <row r="685" spans="1:7" x14ac:dyDescent="0.35">
      <c r="A685" s="140"/>
      <c r="B685" s="8"/>
      <c r="C685" s="8"/>
      <c r="D685" s="8"/>
      <c r="E685" s="8"/>
      <c r="G685" s="19"/>
    </row>
    <row r="686" spans="1:7" x14ac:dyDescent="0.35">
      <c r="A686" s="140"/>
      <c r="B686" s="8"/>
      <c r="C686" s="8"/>
      <c r="D686" s="8"/>
      <c r="E686" s="8"/>
      <c r="G686" s="19"/>
    </row>
    <row r="687" spans="1:7" x14ac:dyDescent="0.35">
      <c r="A687" s="140"/>
      <c r="B687" s="8"/>
      <c r="C687" s="8"/>
      <c r="D687" s="8"/>
      <c r="E687" s="8"/>
      <c r="G687" s="19"/>
    </row>
    <row r="688" spans="1:7" x14ac:dyDescent="0.35">
      <c r="A688" s="140"/>
      <c r="B688" s="8"/>
      <c r="C688" s="8"/>
      <c r="D688" s="8"/>
      <c r="E688" s="8"/>
      <c r="G688" s="19"/>
    </row>
    <row r="689" spans="1:7" x14ac:dyDescent="0.35">
      <c r="A689" s="140"/>
      <c r="B689" s="8"/>
      <c r="C689" s="8"/>
      <c r="D689" s="8"/>
      <c r="E689" s="8"/>
      <c r="G689" s="19"/>
    </row>
    <row r="690" spans="1:7" x14ac:dyDescent="0.35">
      <c r="A690" s="140"/>
      <c r="B690" s="8"/>
      <c r="C690" s="8"/>
      <c r="D690" s="8"/>
      <c r="E690" s="8"/>
      <c r="G690" s="19"/>
    </row>
    <row r="691" spans="1:7" x14ac:dyDescent="0.35">
      <c r="A691" s="140"/>
      <c r="B691" s="8"/>
      <c r="C691" s="8"/>
      <c r="D691" s="8"/>
      <c r="E691" s="8"/>
      <c r="G691" s="19"/>
    </row>
    <row r="692" spans="1:7" x14ac:dyDescent="0.35">
      <c r="A692" s="140"/>
      <c r="B692" s="8"/>
      <c r="C692" s="8"/>
      <c r="D692" s="8"/>
      <c r="E692" s="8"/>
      <c r="G692" s="19"/>
    </row>
    <row r="693" spans="1:7" x14ac:dyDescent="0.35">
      <c r="A693" s="140"/>
      <c r="B693" s="8"/>
      <c r="C693" s="8"/>
      <c r="D693" s="8"/>
      <c r="E693" s="8"/>
      <c r="G693" s="19"/>
    </row>
    <row r="694" spans="1:7" x14ac:dyDescent="0.35">
      <c r="A694" s="140"/>
      <c r="B694" s="8"/>
      <c r="C694" s="8"/>
      <c r="D694" s="8"/>
      <c r="E694" s="8"/>
      <c r="G694" s="19"/>
    </row>
    <row r="695" spans="1:7" x14ac:dyDescent="0.35">
      <c r="A695" s="140"/>
      <c r="B695" s="8"/>
      <c r="C695" s="8"/>
      <c r="D695" s="8"/>
      <c r="E695" s="8"/>
      <c r="G695" s="19"/>
    </row>
    <row r="696" spans="1:7" x14ac:dyDescent="0.35">
      <c r="A696" s="140"/>
      <c r="B696" s="8"/>
      <c r="C696" s="8"/>
      <c r="D696" s="8"/>
      <c r="E696" s="8"/>
      <c r="G696" s="19"/>
    </row>
    <row r="697" spans="1:7" x14ac:dyDescent="0.35">
      <c r="A697" s="140"/>
      <c r="B697" s="8"/>
      <c r="C697" s="8"/>
      <c r="D697" s="8"/>
      <c r="E697" s="8"/>
      <c r="G697" s="19"/>
    </row>
    <row r="698" spans="1:7" x14ac:dyDescent="0.35">
      <c r="A698" s="140"/>
      <c r="B698" s="8"/>
      <c r="C698" s="8"/>
      <c r="D698" s="8"/>
      <c r="E698" s="8"/>
      <c r="G698" s="19"/>
    </row>
    <row r="699" spans="1:7" x14ac:dyDescent="0.35">
      <c r="A699" s="140"/>
      <c r="B699" s="8"/>
      <c r="C699" s="8"/>
      <c r="D699" s="8"/>
      <c r="E699" s="8"/>
      <c r="G699" s="19"/>
    </row>
    <row r="700" spans="1:7" x14ac:dyDescent="0.35">
      <c r="A700" s="140"/>
      <c r="B700" s="8"/>
      <c r="C700" s="8"/>
      <c r="D700" s="8"/>
      <c r="E700" s="8"/>
      <c r="G700" s="19"/>
    </row>
    <row r="701" spans="1:7" x14ac:dyDescent="0.35">
      <c r="A701" s="140"/>
      <c r="B701" s="8"/>
      <c r="C701" s="8"/>
      <c r="D701" s="8"/>
      <c r="E701" s="8"/>
      <c r="G701" s="19"/>
    </row>
    <row r="702" spans="1:7" x14ac:dyDescent="0.35">
      <c r="A702" s="140"/>
      <c r="B702" s="8"/>
      <c r="C702" s="8"/>
      <c r="D702" s="8"/>
      <c r="E702" s="8"/>
      <c r="G702" s="19"/>
    </row>
    <row r="703" spans="1:7" x14ac:dyDescent="0.35">
      <c r="A703" s="140"/>
      <c r="B703" s="8"/>
      <c r="C703" s="8"/>
      <c r="D703" s="8"/>
      <c r="E703" s="8"/>
      <c r="G703" s="19"/>
    </row>
    <row r="704" spans="1:7" x14ac:dyDescent="0.35">
      <c r="A704" s="140"/>
      <c r="B704" s="8"/>
      <c r="C704" s="8"/>
      <c r="D704" s="8"/>
      <c r="E704" s="8"/>
      <c r="G704" s="19"/>
    </row>
    <row r="705" spans="1:7" x14ac:dyDescent="0.35">
      <c r="A705" s="140"/>
      <c r="B705" s="8"/>
      <c r="C705" s="8"/>
      <c r="D705" s="8"/>
      <c r="E705" s="8"/>
      <c r="G705" s="19"/>
    </row>
    <row r="706" spans="1:7" x14ac:dyDescent="0.35">
      <c r="A706" s="140"/>
      <c r="B706" s="8"/>
      <c r="C706" s="8"/>
      <c r="D706" s="8"/>
      <c r="E706" s="8"/>
      <c r="G706" s="19"/>
    </row>
    <row r="707" spans="1:7" x14ac:dyDescent="0.35">
      <c r="A707" s="140"/>
      <c r="B707" s="8"/>
      <c r="C707" s="8"/>
      <c r="D707" s="8"/>
      <c r="E707" s="8"/>
      <c r="G707" s="19"/>
    </row>
    <row r="708" spans="1:7" x14ac:dyDescent="0.35">
      <c r="A708" s="140"/>
      <c r="B708" s="8"/>
      <c r="C708" s="8"/>
      <c r="D708" s="8"/>
      <c r="E708" s="8"/>
      <c r="G708" s="19"/>
    </row>
    <row r="709" spans="1:7" x14ac:dyDescent="0.35">
      <c r="A709" s="140"/>
      <c r="B709" s="8"/>
      <c r="C709" s="8"/>
      <c r="D709" s="8"/>
      <c r="E709" s="8"/>
      <c r="G709" s="19"/>
    </row>
    <row r="710" spans="1:7" x14ac:dyDescent="0.35">
      <c r="A710" s="140"/>
      <c r="B710" s="8"/>
      <c r="C710" s="8"/>
      <c r="D710" s="8"/>
      <c r="E710" s="8"/>
      <c r="G710" s="19"/>
    </row>
    <row r="711" spans="1:7" x14ac:dyDescent="0.35">
      <c r="A711" s="140"/>
      <c r="B711" s="8"/>
      <c r="C711" s="8"/>
      <c r="D711" s="8"/>
      <c r="E711" s="8"/>
      <c r="G711" s="19"/>
    </row>
    <row r="712" spans="1:7" x14ac:dyDescent="0.35">
      <c r="A712" s="140"/>
      <c r="B712" s="8"/>
      <c r="C712" s="8"/>
      <c r="D712" s="8"/>
      <c r="E712" s="8"/>
      <c r="G712" s="19"/>
    </row>
    <row r="713" spans="1:7" x14ac:dyDescent="0.35">
      <c r="A713" s="140"/>
      <c r="B713" s="8"/>
      <c r="C713" s="8"/>
      <c r="D713" s="8"/>
      <c r="E713" s="8"/>
      <c r="G713" s="19"/>
    </row>
    <row r="714" spans="1:7" x14ac:dyDescent="0.35">
      <c r="A714" s="140"/>
      <c r="B714" s="8"/>
      <c r="C714" s="8"/>
      <c r="D714" s="8"/>
      <c r="E714" s="8"/>
      <c r="G714" s="19"/>
    </row>
    <row r="715" spans="1:7" x14ac:dyDescent="0.35">
      <c r="A715" s="140"/>
      <c r="B715" s="8"/>
      <c r="C715" s="8"/>
      <c r="D715" s="8"/>
      <c r="E715" s="8"/>
      <c r="G715" s="19"/>
    </row>
    <row r="716" spans="1:7" x14ac:dyDescent="0.35">
      <c r="A716" s="140"/>
      <c r="B716" s="8"/>
      <c r="C716" s="8"/>
      <c r="D716" s="8"/>
      <c r="E716" s="8"/>
      <c r="G716" s="19"/>
    </row>
    <row r="717" spans="1:7" x14ac:dyDescent="0.35">
      <c r="A717" s="140"/>
      <c r="B717" s="8"/>
      <c r="C717" s="8"/>
      <c r="D717" s="8"/>
      <c r="E717" s="8"/>
      <c r="G717" s="19"/>
    </row>
    <row r="718" spans="1:7" x14ac:dyDescent="0.35">
      <c r="A718" s="140"/>
      <c r="B718" s="8"/>
      <c r="C718" s="8"/>
      <c r="D718" s="8"/>
      <c r="E718" s="8"/>
      <c r="G718" s="19"/>
    </row>
    <row r="719" spans="1:7" x14ac:dyDescent="0.35">
      <c r="A719" s="140"/>
      <c r="B719" s="8"/>
      <c r="C719" s="8"/>
      <c r="D719" s="8"/>
      <c r="E719" s="8"/>
      <c r="G719" s="19"/>
    </row>
    <row r="720" spans="1:7" x14ac:dyDescent="0.35">
      <c r="A720" s="140"/>
      <c r="B720" s="8"/>
      <c r="C720" s="8"/>
      <c r="D720" s="8"/>
      <c r="E720" s="8"/>
      <c r="G720" s="19"/>
    </row>
    <row r="721" spans="1:7" x14ac:dyDescent="0.35">
      <c r="A721" s="140"/>
      <c r="B721" s="8"/>
      <c r="C721" s="8"/>
      <c r="D721" s="8"/>
      <c r="E721" s="8"/>
      <c r="G721" s="19"/>
    </row>
    <row r="722" spans="1:7" x14ac:dyDescent="0.35">
      <c r="A722" s="140"/>
      <c r="B722" s="8"/>
      <c r="C722" s="8"/>
      <c r="D722" s="8"/>
      <c r="E722" s="8"/>
      <c r="G722" s="19"/>
    </row>
    <row r="723" spans="1:7" x14ac:dyDescent="0.35">
      <c r="A723" s="140"/>
      <c r="B723" s="8"/>
      <c r="C723" s="8"/>
      <c r="D723" s="8"/>
      <c r="E723" s="8"/>
      <c r="G723" s="19"/>
    </row>
    <row r="724" spans="1:7" x14ac:dyDescent="0.35">
      <c r="A724" s="140"/>
      <c r="B724" s="8"/>
      <c r="C724" s="8"/>
      <c r="D724" s="8"/>
      <c r="E724" s="8"/>
      <c r="G724" s="19"/>
    </row>
    <row r="725" spans="1:7" x14ac:dyDescent="0.35">
      <c r="A725" s="140"/>
      <c r="B725" s="8"/>
      <c r="C725" s="8"/>
      <c r="D725" s="8"/>
      <c r="E725" s="8"/>
      <c r="G725" s="19"/>
    </row>
    <row r="726" spans="1:7" x14ac:dyDescent="0.35">
      <c r="A726" s="140"/>
      <c r="B726" s="8"/>
      <c r="C726" s="8"/>
      <c r="D726" s="8"/>
      <c r="E726" s="8"/>
      <c r="G726" s="19"/>
    </row>
    <row r="727" spans="1:7" x14ac:dyDescent="0.35">
      <c r="A727" s="140"/>
      <c r="B727" s="8"/>
      <c r="C727" s="8"/>
      <c r="D727" s="8"/>
      <c r="E727" s="8"/>
      <c r="G727" s="19"/>
    </row>
    <row r="728" spans="1:7" x14ac:dyDescent="0.35">
      <c r="A728" s="140"/>
      <c r="B728" s="8"/>
      <c r="C728" s="8"/>
      <c r="D728" s="8"/>
      <c r="E728" s="8"/>
      <c r="G728" s="19"/>
    </row>
    <row r="729" spans="1:7" x14ac:dyDescent="0.35">
      <c r="A729" s="140"/>
      <c r="B729" s="8"/>
      <c r="C729" s="8"/>
      <c r="D729" s="8"/>
      <c r="E729" s="8"/>
      <c r="G729" s="19"/>
    </row>
    <row r="730" spans="1:7" x14ac:dyDescent="0.35">
      <c r="A730" s="140"/>
      <c r="B730" s="8"/>
      <c r="C730" s="8"/>
      <c r="D730" s="8"/>
      <c r="E730" s="8"/>
      <c r="G730" s="19"/>
    </row>
    <row r="731" spans="1:7" x14ac:dyDescent="0.35">
      <c r="A731" s="140"/>
      <c r="B731" s="8"/>
      <c r="C731" s="8"/>
      <c r="D731" s="8"/>
      <c r="E731" s="8"/>
      <c r="G731" s="19"/>
    </row>
    <row r="732" spans="1:7" x14ac:dyDescent="0.35">
      <c r="A732" s="140"/>
      <c r="B732" s="8"/>
      <c r="C732" s="8"/>
      <c r="D732" s="8"/>
      <c r="E732" s="8"/>
      <c r="G732" s="19"/>
    </row>
    <row r="733" spans="1:7" x14ac:dyDescent="0.35">
      <c r="A733" s="140"/>
      <c r="B733" s="8"/>
      <c r="C733" s="8"/>
      <c r="D733" s="8"/>
      <c r="E733" s="8"/>
      <c r="G733" s="19"/>
    </row>
    <row r="734" spans="1:7" x14ac:dyDescent="0.35">
      <c r="A734" s="140"/>
      <c r="B734" s="8"/>
      <c r="C734" s="8"/>
      <c r="D734" s="8"/>
      <c r="E734" s="8"/>
      <c r="G734" s="19"/>
    </row>
    <row r="735" spans="1:7" x14ac:dyDescent="0.35">
      <c r="A735" s="140"/>
      <c r="B735" s="8"/>
      <c r="C735" s="8"/>
      <c r="D735" s="8"/>
      <c r="E735" s="8"/>
      <c r="G735" s="19"/>
    </row>
    <row r="736" spans="1:7" x14ac:dyDescent="0.35">
      <c r="A736" s="140"/>
      <c r="B736" s="8"/>
      <c r="C736" s="8"/>
      <c r="D736" s="8"/>
      <c r="E736" s="8"/>
      <c r="G736" s="19"/>
    </row>
    <row r="737" spans="1:7" x14ac:dyDescent="0.35">
      <c r="A737" s="140"/>
      <c r="B737" s="8"/>
      <c r="C737" s="8"/>
      <c r="D737" s="8"/>
      <c r="E737" s="8"/>
      <c r="G737" s="19"/>
    </row>
    <row r="738" spans="1:7" x14ac:dyDescent="0.35">
      <c r="A738" s="140"/>
      <c r="B738" s="8"/>
      <c r="C738" s="8"/>
      <c r="D738" s="8"/>
      <c r="E738" s="8"/>
      <c r="G738" s="19"/>
    </row>
    <row r="739" spans="1:7" x14ac:dyDescent="0.35">
      <c r="A739" s="140"/>
      <c r="B739" s="8"/>
      <c r="C739" s="8"/>
      <c r="D739" s="8"/>
      <c r="E739" s="8"/>
      <c r="G739" s="19"/>
    </row>
    <row r="740" spans="1:7" x14ac:dyDescent="0.35">
      <c r="A740" s="140"/>
      <c r="B740" s="8"/>
      <c r="C740" s="8"/>
      <c r="D740" s="8"/>
      <c r="E740" s="8"/>
      <c r="G740" s="19"/>
    </row>
    <row r="741" spans="1:7" x14ac:dyDescent="0.35">
      <c r="A741" s="140"/>
      <c r="B741" s="8"/>
      <c r="C741" s="8"/>
      <c r="D741" s="8"/>
      <c r="E741" s="8"/>
      <c r="G741" s="19"/>
    </row>
    <row r="742" spans="1:7" x14ac:dyDescent="0.35">
      <c r="A742" s="140"/>
      <c r="B742" s="8"/>
      <c r="C742" s="8"/>
      <c r="D742" s="8"/>
      <c r="E742" s="8"/>
      <c r="G742" s="19"/>
    </row>
    <row r="743" spans="1:7" x14ac:dyDescent="0.35">
      <c r="A743" s="140"/>
      <c r="B743" s="8"/>
      <c r="C743" s="8"/>
      <c r="D743" s="8"/>
      <c r="E743" s="8"/>
      <c r="G743" s="19"/>
    </row>
    <row r="744" spans="1:7" x14ac:dyDescent="0.35">
      <c r="A744" s="140"/>
      <c r="B744" s="8"/>
      <c r="C744" s="8"/>
      <c r="D744" s="8"/>
      <c r="E744" s="8"/>
      <c r="G744" s="19"/>
    </row>
    <row r="745" spans="1:7" x14ac:dyDescent="0.35">
      <c r="A745" s="140"/>
      <c r="B745" s="8"/>
      <c r="C745" s="8"/>
      <c r="D745" s="8"/>
      <c r="E745" s="8"/>
      <c r="G745" s="19"/>
    </row>
    <row r="746" spans="1:7" x14ac:dyDescent="0.35">
      <c r="A746" s="140"/>
      <c r="B746" s="8"/>
      <c r="C746" s="8"/>
      <c r="D746" s="8"/>
      <c r="E746" s="8"/>
      <c r="G746" s="19"/>
    </row>
    <row r="747" spans="1:7" x14ac:dyDescent="0.35">
      <c r="A747" s="140"/>
      <c r="B747" s="8"/>
      <c r="C747" s="8"/>
      <c r="D747" s="8"/>
      <c r="E747" s="8"/>
      <c r="G747" s="19"/>
    </row>
    <row r="748" spans="1:7" x14ac:dyDescent="0.35">
      <c r="A748" s="140"/>
      <c r="B748" s="8"/>
      <c r="C748" s="8"/>
      <c r="D748" s="8"/>
      <c r="E748" s="8"/>
      <c r="G748" s="19"/>
    </row>
    <row r="749" spans="1:7" x14ac:dyDescent="0.35">
      <c r="A749" s="140"/>
      <c r="B749" s="8"/>
      <c r="C749" s="8"/>
      <c r="D749" s="8"/>
      <c r="E749" s="8"/>
      <c r="G749" s="19"/>
    </row>
    <row r="750" spans="1:7" x14ac:dyDescent="0.35">
      <c r="A750" s="140"/>
      <c r="B750" s="8"/>
      <c r="C750" s="8"/>
      <c r="D750" s="8"/>
      <c r="E750" s="8"/>
      <c r="G750" s="19"/>
    </row>
    <row r="751" spans="1:7" x14ac:dyDescent="0.35">
      <c r="A751" s="140"/>
      <c r="B751" s="8"/>
      <c r="C751" s="8"/>
      <c r="D751" s="8"/>
      <c r="E751" s="8"/>
      <c r="G751" s="19"/>
    </row>
    <row r="752" spans="1:7" x14ac:dyDescent="0.35">
      <c r="A752" s="140"/>
      <c r="B752" s="8"/>
      <c r="C752" s="8"/>
      <c r="D752" s="8"/>
      <c r="E752" s="8"/>
      <c r="G752" s="19"/>
    </row>
    <row r="753" spans="1:7" x14ac:dyDescent="0.35">
      <c r="A753" s="140"/>
      <c r="B753" s="8"/>
      <c r="C753" s="8"/>
      <c r="D753" s="8"/>
      <c r="E753" s="8"/>
      <c r="G753" s="19"/>
    </row>
    <row r="754" spans="1:7" x14ac:dyDescent="0.35">
      <c r="A754" s="140"/>
      <c r="B754" s="8"/>
      <c r="C754" s="8"/>
      <c r="D754" s="8"/>
      <c r="E754" s="8"/>
      <c r="G754" s="19"/>
    </row>
    <row r="755" spans="1:7" x14ac:dyDescent="0.35">
      <c r="A755" s="140"/>
      <c r="B755" s="8"/>
      <c r="C755" s="8"/>
      <c r="D755" s="8"/>
      <c r="E755" s="8"/>
      <c r="G755" s="19"/>
    </row>
    <row r="756" spans="1:7" x14ac:dyDescent="0.35">
      <c r="A756" s="140"/>
      <c r="B756" s="8"/>
      <c r="C756" s="8"/>
      <c r="D756" s="8"/>
      <c r="E756" s="8"/>
      <c r="G756" s="19"/>
    </row>
    <row r="757" spans="1:7" x14ac:dyDescent="0.35">
      <c r="A757" s="140"/>
      <c r="B757" s="8"/>
      <c r="C757" s="8"/>
      <c r="D757" s="8"/>
      <c r="E757" s="8"/>
      <c r="G757" s="19"/>
    </row>
    <row r="758" spans="1:7" x14ac:dyDescent="0.35">
      <c r="A758" s="140"/>
      <c r="B758" s="8"/>
      <c r="C758" s="8"/>
      <c r="D758" s="8"/>
      <c r="E758" s="8"/>
      <c r="G758" s="19"/>
    </row>
    <row r="759" spans="1:7" x14ac:dyDescent="0.35">
      <c r="A759" s="140"/>
      <c r="B759" s="8"/>
      <c r="C759" s="8"/>
      <c r="D759" s="8"/>
      <c r="E759" s="8"/>
      <c r="G759" s="19"/>
    </row>
    <row r="760" spans="1:7" x14ac:dyDescent="0.35">
      <c r="A760" s="140"/>
      <c r="B760" s="8"/>
      <c r="C760" s="8"/>
      <c r="D760" s="8"/>
      <c r="E760" s="8"/>
      <c r="G760" s="19"/>
    </row>
    <row r="761" spans="1:7" x14ac:dyDescent="0.35">
      <c r="A761" s="140"/>
      <c r="B761" s="8"/>
      <c r="C761" s="8"/>
      <c r="D761" s="8"/>
      <c r="E761" s="8"/>
      <c r="G761" s="19"/>
    </row>
    <row r="762" spans="1:7" x14ac:dyDescent="0.35">
      <c r="A762" s="140"/>
      <c r="B762" s="8"/>
      <c r="C762" s="8"/>
      <c r="D762" s="8"/>
      <c r="E762" s="8"/>
      <c r="G762" s="19"/>
    </row>
    <row r="763" spans="1:7" x14ac:dyDescent="0.35">
      <c r="A763" s="140"/>
      <c r="B763" s="8"/>
      <c r="C763" s="8"/>
      <c r="D763" s="8"/>
      <c r="E763" s="8"/>
      <c r="G763" s="19"/>
    </row>
    <row r="764" spans="1:7" x14ac:dyDescent="0.35">
      <c r="A764" s="140"/>
      <c r="B764" s="8"/>
      <c r="C764" s="8"/>
      <c r="D764" s="8"/>
      <c r="E764" s="8"/>
      <c r="G764" s="19"/>
    </row>
    <row r="765" spans="1:7" x14ac:dyDescent="0.35">
      <c r="A765" s="140"/>
      <c r="B765" s="8"/>
      <c r="C765" s="8"/>
      <c r="D765" s="8"/>
      <c r="E765" s="8"/>
      <c r="G765" s="19"/>
    </row>
    <row r="766" spans="1:7" x14ac:dyDescent="0.35">
      <c r="A766" s="140"/>
      <c r="B766" s="8"/>
      <c r="C766" s="8"/>
      <c r="D766" s="8"/>
      <c r="E766" s="8"/>
      <c r="G766" s="19"/>
    </row>
    <row r="767" spans="1:7" x14ac:dyDescent="0.35">
      <c r="A767" s="140"/>
      <c r="B767" s="8"/>
      <c r="C767" s="8"/>
      <c r="D767" s="8"/>
      <c r="E767" s="8"/>
      <c r="G767" s="19"/>
    </row>
    <row r="768" spans="1:7" x14ac:dyDescent="0.35">
      <c r="A768" s="140"/>
      <c r="B768" s="8"/>
      <c r="C768" s="8"/>
      <c r="D768" s="8"/>
      <c r="E768" s="8"/>
      <c r="G768" s="19"/>
    </row>
    <row r="769" spans="1:7" x14ac:dyDescent="0.35">
      <c r="A769" s="140"/>
      <c r="B769" s="8"/>
      <c r="C769" s="8"/>
      <c r="D769" s="8"/>
      <c r="E769" s="8"/>
      <c r="G769" s="19"/>
    </row>
    <row r="770" spans="1:7" x14ac:dyDescent="0.35">
      <c r="A770" s="140"/>
      <c r="B770" s="8"/>
      <c r="C770" s="8"/>
      <c r="D770" s="8"/>
      <c r="E770" s="8"/>
      <c r="G770" s="19"/>
    </row>
    <row r="771" spans="1:7" x14ac:dyDescent="0.35">
      <c r="A771" s="140"/>
      <c r="B771" s="8"/>
      <c r="C771" s="8"/>
      <c r="D771" s="8"/>
      <c r="E771" s="8"/>
      <c r="G771" s="19"/>
    </row>
    <row r="772" spans="1:7" x14ac:dyDescent="0.35">
      <c r="A772" s="140"/>
      <c r="B772" s="8"/>
      <c r="C772" s="8"/>
      <c r="D772" s="8"/>
      <c r="E772" s="8"/>
      <c r="G772" s="19"/>
    </row>
    <row r="773" spans="1:7" x14ac:dyDescent="0.35">
      <c r="A773" s="140"/>
      <c r="B773" s="8"/>
      <c r="C773" s="8"/>
      <c r="D773" s="8"/>
      <c r="E773" s="8"/>
      <c r="G773" s="19"/>
    </row>
    <row r="774" spans="1:7" x14ac:dyDescent="0.35">
      <c r="A774" s="140"/>
      <c r="B774" s="8"/>
      <c r="C774" s="8"/>
      <c r="D774" s="8"/>
      <c r="E774" s="8"/>
      <c r="G774" s="19"/>
    </row>
    <row r="775" spans="1:7" x14ac:dyDescent="0.35">
      <c r="A775" s="140"/>
      <c r="B775" s="8"/>
      <c r="C775" s="8"/>
      <c r="D775" s="8"/>
      <c r="E775" s="8"/>
      <c r="G775" s="19"/>
    </row>
    <row r="776" spans="1:7" x14ac:dyDescent="0.35">
      <c r="A776" s="140"/>
      <c r="B776" s="8"/>
      <c r="C776" s="8"/>
      <c r="D776" s="8"/>
      <c r="E776" s="8"/>
      <c r="G776" s="19"/>
    </row>
    <row r="777" spans="1:7" x14ac:dyDescent="0.35">
      <c r="A777" s="140"/>
      <c r="B777" s="8"/>
      <c r="C777" s="8"/>
      <c r="D777" s="8"/>
      <c r="E777" s="8"/>
      <c r="G777" s="19"/>
    </row>
    <row r="778" spans="1:7" x14ac:dyDescent="0.35">
      <c r="A778" s="140"/>
      <c r="B778" s="8"/>
      <c r="C778" s="8"/>
      <c r="D778" s="8"/>
      <c r="E778" s="8"/>
      <c r="G778" s="19"/>
    </row>
    <row r="779" spans="1:7" x14ac:dyDescent="0.35">
      <c r="A779" s="140"/>
      <c r="B779" s="8"/>
      <c r="C779" s="8"/>
      <c r="D779" s="8"/>
      <c r="E779" s="8"/>
      <c r="G779" s="19"/>
    </row>
    <row r="780" spans="1:7" x14ac:dyDescent="0.35">
      <c r="A780" s="140"/>
      <c r="B780" s="8"/>
      <c r="C780" s="8"/>
      <c r="D780" s="8"/>
      <c r="E780" s="8"/>
      <c r="G780" s="19"/>
    </row>
    <row r="781" spans="1:7" x14ac:dyDescent="0.35">
      <c r="A781" s="140"/>
      <c r="B781" s="8"/>
      <c r="C781" s="8"/>
      <c r="D781" s="8"/>
      <c r="E781" s="8"/>
      <c r="G781" s="19"/>
    </row>
    <row r="782" spans="1:7" x14ac:dyDescent="0.35">
      <c r="A782" s="140"/>
      <c r="B782" s="8"/>
      <c r="C782" s="8"/>
      <c r="D782" s="8"/>
      <c r="E782" s="8"/>
      <c r="G782" s="19"/>
    </row>
    <row r="783" spans="1:7" x14ac:dyDescent="0.35">
      <c r="A783" s="140"/>
      <c r="B783" s="8"/>
      <c r="C783" s="8"/>
      <c r="D783" s="8"/>
      <c r="E783" s="8"/>
      <c r="G783" s="19"/>
    </row>
    <row r="784" spans="1:7" x14ac:dyDescent="0.35">
      <c r="A784" s="140"/>
      <c r="B784" s="8"/>
      <c r="C784" s="8"/>
      <c r="D784" s="8"/>
      <c r="E784" s="8"/>
      <c r="G784" s="19"/>
    </row>
    <row r="785" spans="1:7" x14ac:dyDescent="0.35">
      <c r="A785" s="140"/>
      <c r="B785" s="8"/>
      <c r="C785" s="8"/>
      <c r="D785" s="8"/>
      <c r="E785" s="8"/>
      <c r="G785" s="19"/>
    </row>
    <row r="786" spans="1:7" x14ac:dyDescent="0.35">
      <c r="A786" s="140"/>
      <c r="B786" s="8"/>
      <c r="C786" s="8"/>
      <c r="D786" s="8"/>
      <c r="E786" s="8"/>
      <c r="G786" s="19"/>
    </row>
    <row r="787" spans="1:7" x14ac:dyDescent="0.35">
      <c r="A787" s="140"/>
      <c r="B787" s="8"/>
      <c r="C787" s="8"/>
      <c r="D787" s="8"/>
      <c r="E787" s="8"/>
      <c r="G787" s="19"/>
    </row>
    <row r="788" spans="1:7" x14ac:dyDescent="0.35">
      <c r="A788" s="140"/>
      <c r="B788" s="8"/>
      <c r="C788" s="8"/>
      <c r="D788" s="8"/>
      <c r="E788" s="8"/>
      <c r="G788" s="19"/>
    </row>
    <row r="789" spans="1:7" x14ac:dyDescent="0.35">
      <c r="A789" s="140"/>
      <c r="B789" s="8"/>
      <c r="C789" s="8"/>
      <c r="D789" s="8"/>
      <c r="E789" s="8"/>
      <c r="G789" s="19"/>
    </row>
    <row r="790" spans="1:7" x14ac:dyDescent="0.35">
      <c r="A790" s="140"/>
      <c r="B790" s="8"/>
      <c r="C790" s="8"/>
      <c r="D790" s="8"/>
      <c r="E790" s="8"/>
      <c r="G790" s="19"/>
    </row>
    <row r="791" spans="1:7" x14ac:dyDescent="0.35">
      <c r="A791" s="140"/>
      <c r="B791" s="8"/>
      <c r="C791" s="8"/>
      <c r="D791" s="8"/>
      <c r="E791" s="8"/>
      <c r="G791" s="19"/>
    </row>
    <row r="792" spans="1:7" x14ac:dyDescent="0.35">
      <c r="A792" s="140"/>
      <c r="B792" s="8"/>
      <c r="C792" s="8"/>
      <c r="D792" s="8"/>
      <c r="E792" s="8"/>
      <c r="G792" s="19"/>
    </row>
    <row r="793" spans="1:7" x14ac:dyDescent="0.35">
      <c r="A793" s="140"/>
      <c r="B793" s="8"/>
      <c r="C793" s="8"/>
      <c r="D793" s="8"/>
      <c r="E793" s="8"/>
      <c r="G793" s="19"/>
    </row>
    <row r="794" spans="1:7" x14ac:dyDescent="0.35">
      <c r="A794" s="140"/>
      <c r="B794" s="8"/>
      <c r="C794" s="8"/>
      <c r="D794" s="8"/>
      <c r="E794" s="8"/>
      <c r="G794" s="19"/>
    </row>
    <row r="795" spans="1:7" x14ac:dyDescent="0.35">
      <c r="A795" s="140"/>
      <c r="B795" s="8"/>
      <c r="C795" s="8"/>
      <c r="D795" s="8"/>
      <c r="E795" s="8"/>
      <c r="G795" s="19"/>
    </row>
    <row r="796" spans="1:7" x14ac:dyDescent="0.35">
      <c r="A796" s="140"/>
      <c r="B796" s="8"/>
      <c r="C796" s="8"/>
      <c r="D796" s="8"/>
      <c r="E796" s="8"/>
      <c r="G796" s="19"/>
    </row>
    <row r="797" spans="1:7" x14ac:dyDescent="0.35">
      <c r="A797" s="140"/>
      <c r="B797" s="8"/>
      <c r="C797" s="8"/>
      <c r="D797" s="8"/>
      <c r="E797" s="8"/>
      <c r="G797" s="19"/>
    </row>
    <row r="798" spans="1:7" x14ac:dyDescent="0.35">
      <c r="A798" s="140"/>
      <c r="B798" s="8"/>
      <c r="C798" s="8"/>
      <c r="D798" s="8"/>
      <c r="E798" s="8"/>
      <c r="G798" s="19"/>
    </row>
    <row r="799" spans="1:7" x14ac:dyDescent="0.35">
      <c r="A799" s="140"/>
      <c r="B799" s="8"/>
      <c r="C799" s="8"/>
      <c r="D799" s="8"/>
      <c r="E799" s="8"/>
      <c r="G799" s="19"/>
    </row>
    <row r="800" spans="1:7" x14ac:dyDescent="0.35">
      <c r="A800" s="140"/>
      <c r="B800" s="8"/>
      <c r="C800" s="8"/>
      <c r="D800" s="8"/>
      <c r="E800" s="8"/>
      <c r="G800" s="19"/>
    </row>
    <row r="801" spans="1:7" x14ac:dyDescent="0.35">
      <c r="A801" s="140"/>
      <c r="B801" s="8"/>
      <c r="C801" s="8"/>
      <c r="D801" s="8"/>
      <c r="E801" s="8"/>
      <c r="G801" s="19"/>
    </row>
    <row r="802" spans="1:7" x14ac:dyDescent="0.35">
      <c r="A802" s="140"/>
      <c r="B802" s="8"/>
      <c r="C802" s="8"/>
      <c r="D802" s="8"/>
      <c r="E802" s="8"/>
      <c r="G802" s="19"/>
    </row>
    <row r="803" spans="1:7" x14ac:dyDescent="0.35">
      <c r="A803" s="140"/>
      <c r="B803" s="8"/>
      <c r="C803" s="8"/>
      <c r="D803" s="8"/>
      <c r="E803" s="8"/>
      <c r="G803" s="19"/>
    </row>
    <row r="804" spans="1:7" x14ac:dyDescent="0.35">
      <c r="A804" s="140"/>
      <c r="B804" s="8"/>
      <c r="C804" s="8"/>
      <c r="D804" s="8"/>
      <c r="E804" s="8"/>
      <c r="G804" s="19"/>
    </row>
    <row r="805" spans="1:7" x14ac:dyDescent="0.35">
      <c r="A805" s="140"/>
      <c r="B805" s="8"/>
      <c r="C805" s="8"/>
      <c r="D805" s="8"/>
      <c r="E805" s="8"/>
      <c r="G805" s="19"/>
    </row>
    <row r="806" spans="1:7" x14ac:dyDescent="0.35">
      <c r="A806" s="140"/>
      <c r="B806" s="8"/>
      <c r="C806" s="8"/>
      <c r="D806" s="8"/>
      <c r="E806" s="8"/>
      <c r="G806" s="19"/>
    </row>
    <row r="807" spans="1:7" x14ac:dyDescent="0.35">
      <c r="A807" s="140"/>
      <c r="B807" s="8"/>
      <c r="C807" s="8"/>
      <c r="D807" s="8"/>
      <c r="E807" s="8"/>
      <c r="G807" s="19"/>
    </row>
    <row r="808" spans="1:7" x14ac:dyDescent="0.35">
      <c r="A808" s="140"/>
      <c r="B808" s="8"/>
      <c r="C808" s="8"/>
      <c r="D808" s="8"/>
      <c r="E808" s="8"/>
      <c r="G808" s="19"/>
    </row>
    <row r="809" spans="1:7" x14ac:dyDescent="0.35">
      <c r="A809" s="140"/>
      <c r="B809" s="8"/>
      <c r="C809" s="8"/>
      <c r="D809" s="8"/>
      <c r="E809" s="8"/>
      <c r="G809" s="19"/>
    </row>
    <row r="810" spans="1:7" x14ac:dyDescent="0.35">
      <c r="A810" s="140"/>
      <c r="B810" s="8"/>
      <c r="C810" s="8"/>
      <c r="D810" s="8"/>
      <c r="E810" s="8"/>
      <c r="G810" s="19"/>
    </row>
    <row r="811" spans="1:7" x14ac:dyDescent="0.35">
      <c r="A811" s="140"/>
      <c r="B811" s="8"/>
      <c r="C811" s="8"/>
      <c r="D811" s="8"/>
      <c r="E811" s="8"/>
      <c r="G811" s="19"/>
    </row>
    <row r="812" spans="1:7" x14ac:dyDescent="0.35">
      <c r="A812" s="140"/>
      <c r="B812" s="8"/>
      <c r="C812" s="8"/>
      <c r="D812" s="8"/>
      <c r="E812" s="8"/>
      <c r="G812" s="19"/>
    </row>
    <row r="813" spans="1:7" x14ac:dyDescent="0.35">
      <c r="A813" s="140"/>
      <c r="B813" s="8"/>
      <c r="C813" s="8"/>
      <c r="D813" s="8"/>
      <c r="E813" s="8"/>
      <c r="G813" s="19"/>
    </row>
    <row r="814" spans="1:7" x14ac:dyDescent="0.35">
      <c r="A814" s="140"/>
      <c r="B814" s="8"/>
      <c r="C814" s="8"/>
      <c r="D814" s="8"/>
      <c r="E814" s="8"/>
      <c r="G814" s="19"/>
    </row>
    <row r="815" spans="1:7" x14ac:dyDescent="0.35">
      <c r="A815" s="140"/>
      <c r="B815" s="8"/>
      <c r="C815" s="8"/>
      <c r="D815" s="8"/>
      <c r="E815" s="8"/>
      <c r="G815" s="19"/>
    </row>
    <row r="816" spans="1:7" x14ac:dyDescent="0.35">
      <c r="A816" s="140"/>
      <c r="B816" s="8"/>
      <c r="C816" s="8"/>
      <c r="D816" s="8"/>
      <c r="E816" s="8"/>
      <c r="G816" s="19"/>
    </row>
    <row r="817" spans="1:7" x14ac:dyDescent="0.35">
      <c r="A817" s="140"/>
      <c r="B817" s="8"/>
      <c r="C817" s="8"/>
      <c r="D817" s="8"/>
      <c r="E817" s="8"/>
      <c r="G817" s="19"/>
    </row>
    <row r="818" spans="1:7" x14ac:dyDescent="0.35">
      <c r="A818" s="140"/>
      <c r="B818" s="8"/>
      <c r="C818" s="8"/>
      <c r="D818" s="8"/>
      <c r="E818" s="8"/>
      <c r="G818" s="19"/>
    </row>
    <row r="819" spans="1:7" x14ac:dyDescent="0.35">
      <c r="A819" s="140"/>
      <c r="B819" s="8"/>
      <c r="C819" s="8"/>
      <c r="D819" s="8"/>
      <c r="E819" s="8"/>
      <c r="G819" s="19"/>
    </row>
    <row r="820" spans="1:7" x14ac:dyDescent="0.35">
      <c r="A820" s="140"/>
      <c r="B820" s="8"/>
      <c r="C820" s="8"/>
      <c r="D820" s="8"/>
      <c r="E820" s="8"/>
      <c r="G820" s="19"/>
    </row>
    <row r="821" spans="1:7" x14ac:dyDescent="0.35">
      <c r="A821" s="140"/>
      <c r="B821" s="8"/>
      <c r="C821" s="8"/>
      <c r="D821" s="8"/>
      <c r="E821" s="8"/>
      <c r="G821" s="19"/>
    </row>
    <row r="822" spans="1:7" x14ac:dyDescent="0.35">
      <c r="A822" s="140"/>
      <c r="B822" s="8"/>
      <c r="C822" s="8"/>
      <c r="D822" s="8"/>
      <c r="E822" s="8"/>
      <c r="G822" s="19"/>
    </row>
    <row r="823" spans="1:7" x14ac:dyDescent="0.35">
      <c r="A823" s="140"/>
      <c r="B823" s="8"/>
      <c r="C823" s="8"/>
      <c r="D823" s="8"/>
      <c r="E823" s="8"/>
      <c r="G823" s="19"/>
    </row>
    <row r="824" spans="1:7" x14ac:dyDescent="0.35">
      <c r="A824" s="140"/>
      <c r="B824" s="8"/>
      <c r="C824" s="8"/>
      <c r="D824" s="8"/>
      <c r="E824" s="8"/>
      <c r="G824" s="19"/>
    </row>
    <row r="825" spans="1:7" x14ac:dyDescent="0.35">
      <c r="A825" s="140"/>
      <c r="B825" s="8"/>
      <c r="C825" s="8"/>
      <c r="D825" s="8"/>
      <c r="E825" s="8"/>
      <c r="G825" s="19"/>
    </row>
    <row r="826" spans="1:7" x14ac:dyDescent="0.35">
      <c r="A826" s="140"/>
      <c r="B826" s="8"/>
      <c r="C826" s="8"/>
      <c r="D826" s="8"/>
      <c r="E826" s="8"/>
      <c r="G826" s="19"/>
    </row>
    <row r="827" spans="1:7" x14ac:dyDescent="0.35">
      <c r="A827" s="140"/>
      <c r="B827" s="8"/>
      <c r="C827" s="8"/>
      <c r="D827" s="8"/>
      <c r="E827" s="8"/>
      <c r="G827" s="19"/>
    </row>
    <row r="828" spans="1:7" x14ac:dyDescent="0.35">
      <c r="A828" s="140"/>
      <c r="B828" s="8"/>
      <c r="C828" s="8"/>
      <c r="D828" s="8"/>
      <c r="E828" s="8"/>
      <c r="G828" s="19"/>
    </row>
    <row r="829" spans="1:7" x14ac:dyDescent="0.35">
      <c r="A829" s="140"/>
      <c r="B829" s="8"/>
      <c r="C829" s="8"/>
      <c r="D829" s="8"/>
      <c r="E829" s="8"/>
      <c r="G829" s="19"/>
    </row>
    <row r="830" spans="1:7" x14ac:dyDescent="0.35">
      <c r="A830" s="140"/>
      <c r="B830" s="8"/>
      <c r="C830" s="8"/>
      <c r="D830" s="8"/>
      <c r="E830" s="8"/>
      <c r="G830" s="19"/>
    </row>
    <row r="831" spans="1:7" x14ac:dyDescent="0.35">
      <c r="A831" s="140"/>
      <c r="B831" s="8"/>
      <c r="C831" s="8"/>
      <c r="D831" s="8"/>
      <c r="E831" s="8"/>
      <c r="G831" s="19"/>
    </row>
    <row r="832" spans="1:7" x14ac:dyDescent="0.35">
      <c r="A832" s="140"/>
      <c r="B832" s="8"/>
      <c r="C832" s="8"/>
      <c r="D832" s="8"/>
      <c r="E832" s="8"/>
      <c r="G832" s="19"/>
    </row>
    <row r="833" spans="1:7" x14ac:dyDescent="0.35">
      <c r="A833" s="140"/>
      <c r="B833" s="8"/>
      <c r="C833" s="8"/>
      <c r="D833" s="8"/>
      <c r="E833" s="8"/>
      <c r="G833" s="19"/>
    </row>
    <row r="834" spans="1:7" x14ac:dyDescent="0.35">
      <c r="A834" s="140"/>
      <c r="B834" s="8"/>
      <c r="C834" s="8"/>
      <c r="D834" s="8"/>
      <c r="E834" s="8"/>
      <c r="G834" s="19"/>
    </row>
    <row r="835" spans="1:7" x14ac:dyDescent="0.35">
      <c r="A835" s="140"/>
      <c r="B835" s="8"/>
      <c r="C835" s="8"/>
      <c r="D835" s="8"/>
      <c r="E835" s="8"/>
      <c r="G835" s="19"/>
    </row>
    <row r="836" spans="1:7" x14ac:dyDescent="0.35">
      <c r="A836" s="140"/>
      <c r="B836" s="8"/>
      <c r="C836" s="8"/>
      <c r="D836" s="8"/>
      <c r="E836" s="8"/>
      <c r="G836" s="19"/>
    </row>
    <row r="837" spans="1:7" x14ac:dyDescent="0.35">
      <c r="A837" s="140"/>
      <c r="B837" s="8"/>
      <c r="C837" s="8"/>
      <c r="D837" s="8"/>
      <c r="E837" s="8"/>
      <c r="G837" s="19"/>
    </row>
    <row r="838" spans="1:7" x14ac:dyDescent="0.35">
      <c r="A838" s="140"/>
      <c r="B838" s="8"/>
      <c r="C838" s="8"/>
      <c r="D838" s="8"/>
      <c r="E838" s="8"/>
      <c r="G838" s="19"/>
    </row>
    <row r="839" spans="1:7" x14ac:dyDescent="0.35">
      <c r="A839" s="140"/>
      <c r="B839" s="8"/>
      <c r="C839" s="8"/>
      <c r="D839" s="8"/>
      <c r="E839" s="8"/>
      <c r="G839" s="19"/>
    </row>
    <row r="840" spans="1:7" x14ac:dyDescent="0.35">
      <c r="A840" s="140"/>
      <c r="B840" s="8"/>
      <c r="C840" s="8"/>
      <c r="D840" s="8"/>
      <c r="E840" s="8"/>
      <c r="G840" s="19"/>
    </row>
    <row r="841" spans="1:7" x14ac:dyDescent="0.35">
      <c r="A841" s="140"/>
      <c r="B841" s="8"/>
      <c r="C841" s="8"/>
      <c r="D841" s="8"/>
      <c r="E841" s="8"/>
      <c r="G841" s="19"/>
    </row>
    <row r="842" spans="1:7" x14ac:dyDescent="0.35">
      <c r="A842" s="140"/>
      <c r="B842" s="8"/>
      <c r="C842" s="8"/>
      <c r="D842" s="8"/>
      <c r="E842" s="8"/>
      <c r="G842" s="19"/>
    </row>
    <row r="843" spans="1:7" x14ac:dyDescent="0.35">
      <c r="A843" s="140"/>
      <c r="B843" s="8"/>
      <c r="C843" s="8"/>
      <c r="D843" s="8"/>
      <c r="E843" s="8"/>
      <c r="G843" s="19"/>
    </row>
    <row r="844" spans="1:7" x14ac:dyDescent="0.35">
      <c r="A844" s="140"/>
      <c r="B844" s="8"/>
      <c r="C844" s="8"/>
      <c r="D844" s="8"/>
      <c r="E844" s="8"/>
      <c r="G844" s="19"/>
    </row>
    <row r="845" spans="1:7" x14ac:dyDescent="0.35">
      <c r="A845" s="140"/>
      <c r="B845" s="8"/>
      <c r="C845" s="8"/>
      <c r="D845" s="8"/>
      <c r="E845" s="8"/>
      <c r="G845" s="19"/>
    </row>
    <row r="846" spans="1:7" x14ac:dyDescent="0.35">
      <c r="A846" s="140"/>
      <c r="B846" s="8"/>
      <c r="C846" s="8"/>
      <c r="D846" s="8"/>
      <c r="E846" s="8"/>
      <c r="G846" s="19"/>
    </row>
    <row r="847" spans="1:7" x14ac:dyDescent="0.35">
      <c r="A847" s="140"/>
      <c r="B847" s="8"/>
      <c r="C847" s="8"/>
      <c r="D847" s="8"/>
      <c r="E847" s="8"/>
      <c r="G847" s="19"/>
    </row>
    <row r="848" spans="1:7" x14ac:dyDescent="0.35">
      <c r="A848" s="140"/>
      <c r="B848" s="8"/>
      <c r="C848" s="8"/>
      <c r="D848" s="8"/>
      <c r="E848" s="8"/>
      <c r="G848" s="19"/>
    </row>
    <row r="849" spans="1:7" x14ac:dyDescent="0.35">
      <c r="A849" s="140"/>
      <c r="B849" s="8"/>
      <c r="C849" s="8"/>
      <c r="D849" s="8"/>
      <c r="E849" s="8"/>
      <c r="G849" s="19"/>
    </row>
    <row r="850" spans="1:7" x14ac:dyDescent="0.35">
      <c r="A850" s="140"/>
      <c r="B850" s="8"/>
      <c r="C850" s="8"/>
      <c r="D850" s="8"/>
      <c r="E850" s="8"/>
      <c r="G850" s="19"/>
    </row>
    <row r="851" spans="1:7" x14ac:dyDescent="0.35">
      <c r="A851" s="140"/>
      <c r="B851" s="8"/>
      <c r="C851" s="8"/>
      <c r="D851" s="8"/>
      <c r="E851" s="8"/>
      <c r="G851" s="19"/>
    </row>
    <row r="852" spans="1:7" x14ac:dyDescent="0.35">
      <c r="A852" s="140"/>
      <c r="B852" s="8"/>
      <c r="C852" s="8"/>
      <c r="D852" s="8"/>
      <c r="E852" s="8"/>
      <c r="G852" s="19"/>
    </row>
    <row r="853" spans="1:7" x14ac:dyDescent="0.35">
      <c r="A853" s="140"/>
      <c r="B853" s="8"/>
      <c r="C853" s="8"/>
      <c r="D853" s="8"/>
      <c r="E853" s="8"/>
      <c r="G853" s="19"/>
    </row>
    <row r="854" spans="1:7" x14ac:dyDescent="0.35">
      <c r="A854" s="140"/>
      <c r="B854" s="8"/>
      <c r="C854" s="8"/>
      <c r="D854" s="8"/>
      <c r="E854" s="8"/>
      <c r="G854" s="19"/>
    </row>
    <row r="855" spans="1:7" x14ac:dyDescent="0.35">
      <c r="A855" s="140"/>
      <c r="B855" s="8"/>
      <c r="C855" s="8"/>
      <c r="D855" s="8"/>
      <c r="E855" s="8"/>
      <c r="G855" s="19"/>
    </row>
    <row r="856" spans="1:7" x14ac:dyDescent="0.35">
      <c r="A856" s="140"/>
      <c r="B856" s="8"/>
      <c r="C856" s="8"/>
      <c r="D856" s="8"/>
      <c r="E856" s="8"/>
      <c r="G856" s="19"/>
    </row>
    <row r="857" spans="1:7" x14ac:dyDescent="0.35">
      <c r="A857" s="140"/>
      <c r="B857" s="8"/>
      <c r="C857" s="8"/>
      <c r="D857" s="8"/>
      <c r="E857" s="8"/>
      <c r="G857" s="19"/>
    </row>
    <row r="858" spans="1:7" x14ac:dyDescent="0.35">
      <c r="A858" s="140"/>
      <c r="B858" s="8"/>
      <c r="C858" s="8"/>
      <c r="D858" s="8"/>
      <c r="E858" s="8"/>
      <c r="G858" s="19"/>
    </row>
    <row r="859" spans="1:7" x14ac:dyDescent="0.35">
      <c r="A859" s="140"/>
      <c r="B859" s="8"/>
      <c r="C859" s="8"/>
      <c r="D859" s="8"/>
      <c r="E859" s="8"/>
      <c r="G859" s="19"/>
    </row>
    <row r="860" spans="1:7" x14ac:dyDescent="0.35">
      <c r="A860" s="140"/>
      <c r="B860" s="8"/>
      <c r="C860" s="8"/>
      <c r="D860" s="8"/>
      <c r="E860" s="8"/>
      <c r="G860" s="19"/>
    </row>
    <row r="861" spans="1:7" x14ac:dyDescent="0.35">
      <c r="A861" s="140"/>
      <c r="B861" s="8"/>
      <c r="C861" s="8"/>
      <c r="D861" s="8"/>
      <c r="E861" s="8"/>
      <c r="G861" s="19"/>
    </row>
    <row r="862" spans="1:7" x14ac:dyDescent="0.35">
      <c r="A862" s="140"/>
      <c r="B862" s="8"/>
      <c r="C862" s="8"/>
      <c r="D862" s="8"/>
      <c r="E862" s="8"/>
      <c r="G862" s="19"/>
    </row>
    <row r="863" spans="1:7" x14ac:dyDescent="0.35">
      <c r="A863" s="140"/>
      <c r="B863" s="8"/>
      <c r="C863" s="8"/>
      <c r="D863" s="8"/>
      <c r="E863" s="8"/>
      <c r="G863" s="19"/>
    </row>
    <row r="864" spans="1:7" x14ac:dyDescent="0.35">
      <c r="A864" s="140"/>
      <c r="B864" s="8"/>
      <c r="C864" s="8"/>
      <c r="D864" s="8"/>
      <c r="E864" s="8"/>
      <c r="G864" s="19"/>
    </row>
    <row r="865" spans="1:7" x14ac:dyDescent="0.35">
      <c r="A865" s="140"/>
      <c r="B865" s="8"/>
      <c r="C865" s="8"/>
      <c r="D865" s="8"/>
      <c r="E865" s="8"/>
      <c r="G865" s="19"/>
    </row>
    <row r="866" spans="1:7" x14ac:dyDescent="0.35">
      <c r="A866" s="140"/>
      <c r="B866" s="8"/>
      <c r="C866" s="8"/>
      <c r="D866" s="8"/>
      <c r="E866" s="8"/>
      <c r="G866" s="19"/>
    </row>
    <row r="867" spans="1:7" x14ac:dyDescent="0.35">
      <c r="A867" s="140"/>
      <c r="B867" s="8"/>
      <c r="C867" s="8"/>
      <c r="D867" s="8"/>
      <c r="E867" s="8"/>
      <c r="G867" s="19"/>
    </row>
    <row r="868" spans="1:7" x14ac:dyDescent="0.35">
      <c r="A868" s="140"/>
      <c r="B868" s="8"/>
      <c r="C868" s="8"/>
      <c r="D868" s="8"/>
      <c r="E868" s="8"/>
      <c r="G868" s="19"/>
    </row>
    <row r="869" spans="1:7" x14ac:dyDescent="0.35">
      <c r="A869" s="140"/>
      <c r="B869" s="8"/>
      <c r="C869" s="8"/>
      <c r="D869" s="8"/>
      <c r="E869" s="8"/>
      <c r="G869" s="19"/>
    </row>
    <row r="870" spans="1:7" x14ac:dyDescent="0.35">
      <c r="A870" s="140"/>
      <c r="B870" s="8"/>
      <c r="C870" s="8"/>
      <c r="D870" s="8"/>
      <c r="E870" s="8"/>
      <c r="G870" s="19"/>
    </row>
    <row r="871" spans="1:7" x14ac:dyDescent="0.35">
      <c r="A871" s="140"/>
      <c r="B871" s="8"/>
      <c r="C871" s="8"/>
      <c r="D871" s="8"/>
      <c r="E871" s="8"/>
      <c r="G871" s="19"/>
    </row>
    <row r="872" spans="1:7" x14ac:dyDescent="0.35">
      <c r="A872" s="140"/>
      <c r="B872" s="8"/>
      <c r="C872" s="8"/>
      <c r="D872" s="8"/>
      <c r="E872" s="8"/>
      <c r="G872" s="19"/>
    </row>
    <row r="873" spans="1:7" x14ac:dyDescent="0.35">
      <c r="A873" s="140"/>
      <c r="B873" s="8"/>
      <c r="C873" s="8"/>
      <c r="D873" s="8"/>
      <c r="E873" s="8"/>
      <c r="G873" s="19"/>
    </row>
    <row r="874" spans="1:7" x14ac:dyDescent="0.35">
      <c r="A874" s="140"/>
      <c r="B874" s="8"/>
      <c r="C874" s="8"/>
      <c r="D874" s="8"/>
      <c r="E874" s="8"/>
      <c r="G874" s="19"/>
    </row>
    <row r="875" spans="1:7" x14ac:dyDescent="0.35">
      <c r="A875" s="140"/>
      <c r="B875" s="8"/>
      <c r="C875" s="8"/>
      <c r="D875" s="8"/>
      <c r="E875" s="8"/>
      <c r="G875" s="19"/>
    </row>
    <row r="876" spans="1:7" x14ac:dyDescent="0.35">
      <c r="A876" s="140"/>
      <c r="B876" s="8"/>
      <c r="C876" s="8"/>
      <c r="D876" s="8"/>
      <c r="E876" s="8"/>
      <c r="G876" s="19"/>
    </row>
    <row r="877" spans="1:7" x14ac:dyDescent="0.35">
      <c r="A877" s="140"/>
      <c r="B877" s="8"/>
      <c r="C877" s="8"/>
      <c r="D877" s="8"/>
      <c r="E877" s="8"/>
      <c r="G877" s="19"/>
    </row>
    <row r="878" spans="1:7" x14ac:dyDescent="0.35">
      <c r="A878" s="140"/>
      <c r="B878" s="8"/>
      <c r="C878" s="8"/>
      <c r="D878" s="8"/>
      <c r="E878" s="8"/>
      <c r="G878" s="19"/>
    </row>
    <row r="879" spans="1:7" x14ac:dyDescent="0.35">
      <c r="A879" s="140"/>
      <c r="B879" s="8"/>
      <c r="C879" s="8"/>
      <c r="D879" s="8"/>
      <c r="E879" s="8"/>
      <c r="G879" s="19"/>
    </row>
    <row r="880" spans="1:7" x14ac:dyDescent="0.35">
      <c r="A880" s="140"/>
      <c r="B880" s="8"/>
      <c r="C880" s="8"/>
      <c r="D880" s="8"/>
      <c r="E880" s="8"/>
      <c r="G880" s="19"/>
    </row>
    <row r="881" spans="1:7" x14ac:dyDescent="0.35">
      <c r="A881" s="140"/>
      <c r="B881" s="8"/>
      <c r="C881" s="8"/>
      <c r="D881" s="8"/>
      <c r="E881" s="8"/>
      <c r="G881" s="19"/>
    </row>
    <row r="882" spans="1:7" x14ac:dyDescent="0.35">
      <c r="A882" s="140"/>
      <c r="B882" s="8"/>
      <c r="C882" s="8"/>
      <c r="D882" s="8"/>
      <c r="E882" s="8"/>
      <c r="G882" s="19"/>
    </row>
    <row r="883" spans="1:7" x14ac:dyDescent="0.35">
      <c r="A883" s="140"/>
      <c r="B883" s="8"/>
      <c r="C883" s="8"/>
      <c r="D883" s="8"/>
      <c r="E883" s="8"/>
      <c r="G883" s="19"/>
    </row>
    <row r="884" spans="1:7" x14ac:dyDescent="0.35">
      <c r="A884" s="140"/>
      <c r="B884" s="8"/>
      <c r="C884" s="8"/>
      <c r="D884" s="8"/>
      <c r="E884" s="8"/>
      <c r="G884" s="19"/>
    </row>
    <row r="885" spans="1:7" x14ac:dyDescent="0.35">
      <c r="A885" s="140"/>
      <c r="B885" s="8"/>
      <c r="C885" s="8"/>
      <c r="D885" s="8"/>
      <c r="E885" s="8"/>
      <c r="G885" s="19"/>
    </row>
    <row r="886" spans="1:7" x14ac:dyDescent="0.35">
      <c r="A886" s="140"/>
      <c r="B886" s="8"/>
      <c r="C886" s="8"/>
      <c r="D886" s="8"/>
      <c r="E886" s="8"/>
      <c r="G886" s="19"/>
    </row>
    <row r="887" spans="1:7" x14ac:dyDescent="0.35">
      <c r="A887" s="140"/>
      <c r="B887" s="8"/>
      <c r="C887" s="8"/>
      <c r="D887" s="8"/>
      <c r="E887" s="8"/>
      <c r="G887" s="19"/>
    </row>
    <row r="888" spans="1:7" x14ac:dyDescent="0.35">
      <c r="A888" s="140"/>
      <c r="B888" s="8"/>
      <c r="C888" s="8"/>
      <c r="D888" s="8"/>
      <c r="E888" s="8"/>
      <c r="G888" s="19"/>
    </row>
    <row r="889" spans="1:7" x14ac:dyDescent="0.35">
      <c r="A889" s="140"/>
      <c r="B889" s="8"/>
      <c r="C889" s="8"/>
      <c r="D889" s="8"/>
      <c r="E889" s="8"/>
      <c r="G889" s="19"/>
    </row>
    <row r="890" spans="1:7" x14ac:dyDescent="0.35">
      <c r="A890" s="140"/>
      <c r="B890" s="8"/>
      <c r="C890" s="8"/>
      <c r="D890" s="8"/>
      <c r="E890" s="8"/>
      <c r="G890" s="19"/>
    </row>
    <row r="891" spans="1:7" x14ac:dyDescent="0.35">
      <c r="A891" s="140"/>
      <c r="B891" s="8"/>
      <c r="C891" s="8"/>
      <c r="D891" s="8"/>
      <c r="E891" s="8"/>
      <c r="G891" s="19"/>
    </row>
    <row r="892" spans="1:7" x14ac:dyDescent="0.35">
      <c r="A892" s="140"/>
      <c r="B892" s="8"/>
      <c r="C892" s="8"/>
      <c r="D892" s="8"/>
      <c r="E892" s="8"/>
      <c r="G892" s="19"/>
    </row>
    <row r="893" spans="1:7" x14ac:dyDescent="0.35">
      <c r="A893" s="140"/>
      <c r="B893" s="8"/>
      <c r="C893" s="8"/>
      <c r="D893" s="8"/>
      <c r="E893" s="8"/>
      <c r="G893" s="19"/>
    </row>
    <row r="894" spans="1:7" x14ac:dyDescent="0.35">
      <c r="A894" s="140"/>
      <c r="B894" s="8"/>
      <c r="C894" s="8"/>
      <c r="D894" s="8"/>
      <c r="E894" s="8"/>
      <c r="G894" s="19"/>
    </row>
    <row r="895" spans="1:7" x14ac:dyDescent="0.35">
      <c r="A895" s="140"/>
      <c r="B895" s="8"/>
      <c r="C895" s="8"/>
      <c r="D895" s="8"/>
      <c r="E895" s="8"/>
      <c r="G895" s="19"/>
    </row>
    <row r="896" spans="1:7" x14ac:dyDescent="0.35">
      <c r="A896" s="140"/>
      <c r="B896" s="8"/>
      <c r="C896" s="8"/>
      <c r="D896" s="8"/>
      <c r="E896" s="8"/>
      <c r="G896" s="19"/>
    </row>
    <row r="897" spans="1:7" x14ac:dyDescent="0.35">
      <c r="A897" s="140"/>
      <c r="B897" s="8"/>
      <c r="C897" s="8"/>
      <c r="D897" s="8"/>
      <c r="E897" s="8"/>
      <c r="G897" s="19"/>
    </row>
    <row r="898" spans="1:7" x14ac:dyDescent="0.35">
      <c r="A898" s="140"/>
      <c r="B898" s="8"/>
      <c r="C898" s="8"/>
      <c r="D898" s="8"/>
      <c r="E898" s="8"/>
      <c r="G898" s="19"/>
    </row>
    <row r="899" spans="1:7" x14ac:dyDescent="0.35">
      <c r="A899" s="140"/>
      <c r="B899" s="8"/>
      <c r="C899" s="8"/>
      <c r="D899" s="8"/>
      <c r="E899" s="8"/>
      <c r="G899" s="19"/>
    </row>
    <row r="900" spans="1:7" x14ac:dyDescent="0.35">
      <c r="A900" s="140"/>
      <c r="B900" s="8"/>
      <c r="C900" s="8"/>
      <c r="D900" s="8"/>
      <c r="E900" s="8"/>
      <c r="G900" s="19"/>
    </row>
    <row r="901" spans="1:7" x14ac:dyDescent="0.35">
      <c r="A901" s="140"/>
      <c r="B901" s="8"/>
      <c r="C901" s="8"/>
      <c r="D901" s="8"/>
      <c r="E901" s="8"/>
      <c r="G901" s="19"/>
    </row>
    <row r="902" spans="1:7" x14ac:dyDescent="0.35">
      <c r="A902" s="140"/>
      <c r="B902" s="8"/>
      <c r="C902" s="8"/>
      <c r="D902" s="8"/>
      <c r="E902" s="8"/>
      <c r="G902" s="19"/>
    </row>
    <row r="903" spans="1:7" x14ac:dyDescent="0.35">
      <c r="A903" s="140"/>
      <c r="B903" s="8"/>
      <c r="C903" s="8"/>
      <c r="D903" s="8"/>
      <c r="E903" s="8"/>
      <c r="G903" s="19"/>
    </row>
    <row r="904" spans="1:7" x14ac:dyDescent="0.35">
      <c r="A904" s="140"/>
      <c r="B904" s="8"/>
      <c r="C904" s="8"/>
      <c r="D904" s="8"/>
      <c r="E904" s="8"/>
      <c r="G904" s="19"/>
    </row>
    <row r="905" spans="1:7" x14ac:dyDescent="0.35">
      <c r="A905" s="140"/>
      <c r="B905" s="8"/>
      <c r="C905" s="8"/>
      <c r="D905" s="8"/>
      <c r="E905" s="8"/>
      <c r="G905" s="19"/>
    </row>
    <row r="906" spans="1:7" x14ac:dyDescent="0.35">
      <c r="A906" s="140"/>
      <c r="B906" s="8"/>
      <c r="C906" s="8"/>
      <c r="D906" s="8"/>
      <c r="E906" s="8"/>
      <c r="G906" s="19"/>
    </row>
    <row r="907" spans="1:7" x14ac:dyDescent="0.35">
      <c r="A907" s="140"/>
      <c r="B907" s="8"/>
      <c r="C907" s="8"/>
      <c r="D907" s="8"/>
      <c r="E907" s="8"/>
      <c r="G907" s="19"/>
    </row>
    <row r="908" spans="1:7" x14ac:dyDescent="0.35">
      <c r="A908" s="140"/>
      <c r="B908" s="8"/>
      <c r="C908" s="8"/>
      <c r="D908" s="8"/>
      <c r="E908" s="8"/>
      <c r="G908" s="19"/>
    </row>
    <row r="909" spans="1:7" x14ac:dyDescent="0.35">
      <c r="A909" s="140"/>
      <c r="B909" s="8"/>
      <c r="C909" s="8"/>
      <c r="D909" s="8"/>
      <c r="E909" s="8"/>
      <c r="G909" s="19"/>
    </row>
    <row r="910" spans="1:7" x14ac:dyDescent="0.35">
      <c r="A910" s="140"/>
      <c r="B910" s="8"/>
      <c r="C910" s="8"/>
      <c r="D910" s="8"/>
      <c r="E910" s="8"/>
      <c r="G910" s="19"/>
    </row>
    <row r="911" spans="1:7" x14ac:dyDescent="0.35">
      <c r="A911" s="140"/>
      <c r="B911" s="8"/>
      <c r="C911" s="8"/>
      <c r="D911" s="8"/>
      <c r="E911" s="8"/>
      <c r="G911" s="19"/>
    </row>
    <row r="912" spans="1:7" x14ac:dyDescent="0.35">
      <c r="A912" s="140"/>
      <c r="B912" s="8"/>
      <c r="C912" s="8"/>
      <c r="D912" s="8"/>
      <c r="E912" s="8"/>
      <c r="G912" s="19"/>
    </row>
    <row r="913" spans="1:7" x14ac:dyDescent="0.35">
      <c r="A913" s="140"/>
      <c r="B913" s="8"/>
      <c r="C913" s="8"/>
      <c r="D913" s="8"/>
      <c r="E913" s="8"/>
      <c r="G913" s="19"/>
    </row>
    <row r="914" spans="1:7" x14ac:dyDescent="0.35">
      <c r="A914" s="140"/>
      <c r="B914" s="8"/>
      <c r="C914" s="8"/>
      <c r="D914" s="8"/>
      <c r="E914" s="8"/>
      <c r="G914" s="19"/>
    </row>
    <row r="915" spans="1:7" x14ac:dyDescent="0.35">
      <c r="A915" s="140"/>
      <c r="B915" s="8"/>
      <c r="C915" s="8"/>
      <c r="D915" s="8"/>
      <c r="E915" s="8"/>
      <c r="G915" s="19"/>
    </row>
    <row r="916" spans="1:7" x14ac:dyDescent="0.35">
      <c r="A916" s="140"/>
      <c r="B916" s="8"/>
      <c r="C916" s="8"/>
      <c r="D916" s="8"/>
      <c r="E916" s="8"/>
      <c r="G916" s="19"/>
    </row>
    <row r="917" spans="1:7" x14ac:dyDescent="0.35">
      <c r="A917" s="140"/>
      <c r="B917" s="8"/>
      <c r="C917" s="8"/>
      <c r="D917" s="8"/>
      <c r="E917" s="8"/>
      <c r="G917" s="19"/>
    </row>
    <row r="918" spans="1:7" x14ac:dyDescent="0.35">
      <c r="A918" s="140"/>
      <c r="B918" s="8"/>
      <c r="C918" s="8"/>
      <c r="D918" s="8"/>
      <c r="E918" s="8"/>
      <c r="G918" s="19"/>
    </row>
    <row r="919" spans="1:7" x14ac:dyDescent="0.35">
      <c r="A919" s="140"/>
      <c r="B919" s="8"/>
      <c r="C919" s="8"/>
      <c r="D919" s="8"/>
      <c r="E919" s="8"/>
      <c r="G919" s="19"/>
    </row>
    <row r="920" spans="1:7" x14ac:dyDescent="0.35">
      <c r="A920" s="140"/>
      <c r="B920" s="8"/>
      <c r="C920" s="8"/>
      <c r="D920" s="8"/>
      <c r="E920" s="8"/>
      <c r="G920" s="19"/>
    </row>
    <row r="921" spans="1:7" x14ac:dyDescent="0.35">
      <c r="A921" s="140"/>
      <c r="B921" s="8"/>
      <c r="C921" s="8"/>
      <c r="D921" s="8"/>
      <c r="E921" s="8"/>
      <c r="G921" s="19"/>
    </row>
    <row r="922" spans="1:7" x14ac:dyDescent="0.35">
      <c r="A922" s="140"/>
      <c r="B922" s="8"/>
      <c r="C922" s="8"/>
      <c r="D922" s="8"/>
      <c r="E922" s="8"/>
      <c r="G922" s="19"/>
    </row>
    <row r="923" spans="1:7" x14ac:dyDescent="0.35">
      <c r="A923" s="140"/>
      <c r="B923" s="8"/>
      <c r="C923" s="8"/>
      <c r="D923" s="8"/>
      <c r="E923" s="8"/>
      <c r="G923" s="19"/>
    </row>
    <row r="924" spans="1:7" x14ac:dyDescent="0.35">
      <c r="A924" s="140"/>
      <c r="B924" s="8"/>
      <c r="C924" s="8"/>
      <c r="D924" s="8"/>
      <c r="E924" s="8"/>
      <c r="G924" s="19"/>
    </row>
    <row r="925" spans="1:7" x14ac:dyDescent="0.35">
      <c r="A925" s="140"/>
      <c r="B925" s="8"/>
      <c r="C925" s="8"/>
      <c r="D925" s="8"/>
      <c r="E925" s="8"/>
      <c r="G925" s="19"/>
    </row>
    <row r="926" spans="1:7" x14ac:dyDescent="0.35">
      <c r="A926" s="140"/>
      <c r="B926" s="8"/>
      <c r="C926" s="8"/>
      <c r="D926" s="8"/>
      <c r="E926" s="8"/>
      <c r="G926" s="19"/>
    </row>
    <row r="927" spans="1:7" x14ac:dyDescent="0.35">
      <c r="A927" s="140"/>
      <c r="B927" s="8"/>
      <c r="C927" s="8"/>
      <c r="D927" s="8"/>
      <c r="E927" s="8"/>
      <c r="G927" s="19"/>
    </row>
    <row r="928" spans="1:7" x14ac:dyDescent="0.35">
      <c r="A928" s="140"/>
      <c r="B928" s="8"/>
      <c r="C928" s="8"/>
      <c r="D928" s="8"/>
      <c r="E928" s="8"/>
      <c r="G928" s="19"/>
    </row>
    <row r="929" spans="1:7" x14ac:dyDescent="0.35">
      <c r="A929" s="140"/>
      <c r="B929" s="8"/>
      <c r="C929" s="8"/>
      <c r="D929" s="8"/>
      <c r="E929" s="8"/>
      <c r="G929" s="19"/>
    </row>
    <row r="930" spans="1:7" x14ac:dyDescent="0.35">
      <c r="A930" s="140"/>
      <c r="B930" s="8"/>
      <c r="C930" s="8"/>
      <c r="D930" s="8"/>
      <c r="E930" s="8"/>
      <c r="G930" s="19"/>
    </row>
    <row r="931" spans="1:7" x14ac:dyDescent="0.35">
      <c r="A931" s="140"/>
      <c r="B931" s="8"/>
      <c r="C931" s="8"/>
      <c r="D931" s="8"/>
      <c r="E931" s="8"/>
      <c r="G931" s="19"/>
    </row>
    <row r="932" spans="1:7" x14ac:dyDescent="0.35">
      <c r="A932" s="140"/>
      <c r="B932" s="8"/>
      <c r="C932" s="8"/>
      <c r="D932" s="8"/>
      <c r="E932" s="8"/>
      <c r="G932" s="19"/>
    </row>
    <row r="933" spans="1:7" x14ac:dyDescent="0.35">
      <c r="A933" s="140"/>
      <c r="B933" s="8"/>
      <c r="C933" s="8"/>
      <c r="D933" s="8"/>
      <c r="E933" s="8"/>
      <c r="G933" s="19"/>
    </row>
    <row r="934" spans="1:7" x14ac:dyDescent="0.35">
      <c r="A934" s="140"/>
      <c r="B934" s="8"/>
      <c r="C934" s="8"/>
      <c r="D934" s="8"/>
      <c r="E934" s="8"/>
      <c r="G934" s="19"/>
    </row>
    <row r="935" spans="1:7" x14ac:dyDescent="0.35">
      <c r="A935" s="140"/>
      <c r="B935" s="8"/>
      <c r="C935" s="8"/>
      <c r="D935" s="8"/>
      <c r="E935" s="8"/>
      <c r="G935" s="19"/>
    </row>
    <row r="936" spans="1:7" x14ac:dyDescent="0.35">
      <c r="A936" s="140"/>
      <c r="B936" s="8"/>
      <c r="C936" s="8"/>
      <c r="D936" s="8"/>
      <c r="E936" s="8"/>
      <c r="G936" s="19"/>
    </row>
    <row r="937" spans="1:7" x14ac:dyDescent="0.35">
      <c r="A937" s="140"/>
      <c r="B937" s="8"/>
      <c r="C937" s="8"/>
      <c r="D937" s="8"/>
      <c r="E937" s="8"/>
      <c r="G937" s="19"/>
    </row>
    <row r="938" spans="1:7" x14ac:dyDescent="0.35">
      <c r="A938" s="140"/>
      <c r="B938" s="8"/>
      <c r="C938" s="8"/>
      <c r="D938" s="8"/>
      <c r="E938" s="8"/>
      <c r="G938" s="19"/>
    </row>
    <row r="939" spans="1:7" x14ac:dyDescent="0.35">
      <c r="A939" s="140"/>
      <c r="B939" s="8"/>
      <c r="C939" s="8"/>
      <c r="D939" s="8"/>
      <c r="E939" s="8"/>
      <c r="G939" s="19"/>
    </row>
    <row r="940" spans="1:7" x14ac:dyDescent="0.35">
      <c r="A940" s="140"/>
      <c r="B940" s="8"/>
      <c r="C940" s="8"/>
      <c r="D940" s="8"/>
      <c r="E940" s="8"/>
      <c r="G940" s="19"/>
    </row>
    <row r="941" spans="1:7" x14ac:dyDescent="0.35">
      <c r="A941" s="140"/>
      <c r="B941" s="8"/>
      <c r="C941" s="8"/>
      <c r="D941" s="8"/>
      <c r="E941" s="8"/>
      <c r="G941" s="19"/>
    </row>
    <row r="942" spans="1:7" x14ac:dyDescent="0.35">
      <c r="A942" s="140"/>
      <c r="B942" s="8"/>
      <c r="C942" s="8"/>
      <c r="D942" s="8"/>
      <c r="E942" s="8"/>
      <c r="G942" s="19"/>
    </row>
    <row r="943" spans="1:7" x14ac:dyDescent="0.35">
      <c r="A943" s="140"/>
      <c r="B943" s="8"/>
      <c r="C943" s="8"/>
      <c r="D943" s="8"/>
      <c r="E943" s="8"/>
      <c r="G943" s="19"/>
    </row>
    <row r="944" spans="1:7" x14ac:dyDescent="0.35">
      <c r="A944" s="140"/>
      <c r="B944" s="8"/>
      <c r="C944" s="8"/>
      <c r="D944" s="8"/>
      <c r="E944" s="8"/>
      <c r="G944" s="19"/>
    </row>
    <row r="945" spans="1:7" x14ac:dyDescent="0.35">
      <c r="A945" s="140"/>
      <c r="B945" s="8"/>
      <c r="C945" s="8"/>
      <c r="D945" s="8"/>
      <c r="E945" s="8"/>
      <c r="G945" s="19"/>
    </row>
    <row r="946" spans="1:7" x14ac:dyDescent="0.35">
      <c r="A946" s="140"/>
      <c r="B946" s="8"/>
      <c r="C946" s="8"/>
      <c r="D946" s="8"/>
      <c r="E946" s="8"/>
      <c r="G946" s="19"/>
    </row>
    <row r="947" spans="1:7" x14ac:dyDescent="0.35">
      <c r="A947" s="140"/>
      <c r="B947" s="8"/>
      <c r="C947" s="8"/>
      <c r="D947" s="8"/>
      <c r="E947" s="8"/>
      <c r="G947" s="19"/>
    </row>
    <row r="948" spans="1:7" x14ac:dyDescent="0.35">
      <c r="A948" s="140"/>
      <c r="B948" s="8"/>
      <c r="C948" s="8"/>
      <c r="D948" s="8"/>
      <c r="E948" s="8"/>
      <c r="G948" s="19"/>
    </row>
    <row r="949" spans="1:7" x14ac:dyDescent="0.35">
      <c r="A949" s="140"/>
      <c r="B949" s="8"/>
      <c r="C949" s="8"/>
      <c r="D949" s="8"/>
      <c r="E949" s="8"/>
      <c r="G949" s="19"/>
    </row>
    <row r="950" spans="1:7" x14ac:dyDescent="0.35">
      <c r="A950" s="140"/>
      <c r="B950" s="8"/>
      <c r="C950" s="8"/>
      <c r="D950" s="8"/>
      <c r="E950" s="8"/>
      <c r="G950" s="19"/>
    </row>
    <row r="951" spans="1:7" x14ac:dyDescent="0.35">
      <c r="A951" s="140"/>
      <c r="B951" s="8"/>
      <c r="C951" s="8"/>
      <c r="D951" s="8"/>
      <c r="E951" s="8"/>
      <c r="G951" s="19"/>
    </row>
    <row r="952" spans="1:7" x14ac:dyDescent="0.35">
      <c r="A952" s="140"/>
      <c r="B952" s="8"/>
      <c r="C952" s="8"/>
      <c r="D952" s="8"/>
      <c r="E952" s="8"/>
      <c r="G952" s="19"/>
    </row>
    <row r="953" spans="1:7" x14ac:dyDescent="0.35">
      <c r="A953" s="140"/>
      <c r="B953" s="8"/>
      <c r="C953" s="8"/>
      <c r="D953" s="8"/>
      <c r="E953" s="8"/>
      <c r="G953" s="19"/>
    </row>
    <row r="954" spans="1:7" x14ac:dyDescent="0.35">
      <c r="A954" s="140"/>
      <c r="B954" s="8"/>
      <c r="C954" s="8"/>
      <c r="D954" s="8"/>
      <c r="E954" s="8"/>
      <c r="G954" s="19"/>
    </row>
    <row r="955" spans="1:7" x14ac:dyDescent="0.35">
      <c r="A955" s="140"/>
      <c r="B955" s="8"/>
      <c r="C955" s="8"/>
      <c r="D955" s="8"/>
      <c r="E955" s="8"/>
      <c r="G955" s="19"/>
    </row>
    <row r="956" spans="1:7" x14ac:dyDescent="0.35">
      <c r="A956" s="140"/>
      <c r="B956" s="8"/>
      <c r="C956" s="8"/>
      <c r="D956" s="8"/>
      <c r="E956" s="8"/>
      <c r="G956" s="19"/>
    </row>
    <row r="957" spans="1:7" x14ac:dyDescent="0.35">
      <c r="A957" s="140"/>
      <c r="B957" s="8"/>
      <c r="C957" s="8"/>
      <c r="D957" s="8"/>
      <c r="E957" s="8"/>
      <c r="G957" s="19"/>
    </row>
    <row r="958" spans="1:7" x14ac:dyDescent="0.35">
      <c r="A958" s="140"/>
      <c r="B958" s="8"/>
      <c r="C958" s="8"/>
      <c r="D958" s="8"/>
      <c r="E958" s="8"/>
      <c r="G958" s="19"/>
    </row>
    <row r="959" spans="1:7" x14ac:dyDescent="0.35">
      <c r="A959" s="140"/>
      <c r="B959" s="8"/>
      <c r="C959" s="8"/>
      <c r="D959" s="8"/>
      <c r="E959" s="8"/>
      <c r="G959" s="19"/>
    </row>
    <row r="960" spans="1:7" x14ac:dyDescent="0.35">
      <c r="A960" s="140"/>
      <c r="B960" s="8"/>
      <c r="C960" s="8"/>
      <c r="D960" s="8"/>
      <c r="E960" s="8"/>
      <c r="G960" s="19"/>
    </row>
    <row r="961" spans="1:7" x14ac:dyDescent="0.35">
      <c r="A961" s="140"/>
      <c r="B961" s="8"/>
      <c r="C961" s="8"/>
      <c r="D961" s="8"/>
      <c r="E961" s="8"/>
      <c r="G961" s="19"/>
    </row>
    <row r="962" spans="1:7" x14ac:dyDescent="0.35">
      <c r="A962" s="140"/>
      <c r="B962" s="8"/>
      <c r="C962" s="8"/>
      <c r="D962" s="8"/>
      <c r="E962" s="8"/>
      <c r="G962" s="19"/>
    </row>
    <row r="963" spans="1:7" x14ac:dyDescent="0.35">
      <c r="A963" s="140"/>
      <c r="B963" s="8"/>
      <c r="C963" s="8"/>
      <c r="D963" s="8"/>
      <c r="E963" s="8"/>
      <c r="G963" s="19"/>
    </row>
    <row r="964" spans="1:7" x14ac:dyDescent="0.35">
      <c r="A964" s="140"/>
      <c r="B964" s="8"/>
      <c r="C964" s="8"/>
      <c r="D964" s="8"/>
      <c r="E964" s="8"/>
      <c r="G964" s="19"/>
    </row>
    <row r="965" spans="1:7" x14ac:dyDescent="0.35">
      <c r="A965" s="140"/>
      <c r="B965" s="8"/>
      <c r="C965" s="8"/>
      <c r="D965" s="8"/>
      <c r="E965" s="8"/>
      <c r="G965" s="19"/>
    </row>
    <row r="966" spans="1:7" x14ac:dyDescent="0.35">
      <c r="A966" s="140"/>
      <c r="B966" s="8"/>
      <c r="C966" s="8"/>
      <c r="D966" s="8"/>
      <c r="E966" s="8"/>
      <c r="G966" s="19"/>
    </row>
    <row r="967" spans="1:7" x14ac:dyDescent="0.35">
      <c r="A967" s="140"/>
      <c r="B967" s="8"/>
      <c r="C967" s="8"/>
      <c r="D967" s="8"/>
      <c r="E967" s="8"/>
      <c r="G967" s="19"/>
    </row>
    <row r="968" spans="1:7" x14ac:dyDescent="0.35">
      <c r="A968" s="140"/>
      <c r="B968" s="8"/>
      <c r="C968" s="8"/>
      <c r="D968" s="8"/>
      <c r="E968" s="8"/>
      <c r="G968" s="19"/>
    </row>
    <row r="969" spans="1:7" x14ac:dyDescent="0.35">
      <c r="A969" s="140"/>
      <c r="B969" s="8"/>
      <c r="C969" s="8"/>
      <c r="D969" s="8"/>
      <c r="E969" s="8"/>
      <c r="G969" s="19"/>
    </row>
    <row r="970" spans="1:7" x14ac:dyDescent="0.35">
      <c r="A970" s="140"/>
      <c r="B970" s="8"/>
      <c r="C970" s="8"/>
      <c r="D970" s="8"/>
      <c r="E970" s="8"/>
      <c r="G970" s="19"/>
    </row>
    <row r="971" spans="1:7" x14ac:dyDescent="0.35">
      <c r="A971" s="140"/>
      <c r="B971" s="8"/>
      <c r="C971" s="8"/>
      <c r="D971" s="8"/>
      <c r="E971" s="8"/>
      <c r="G971" s="19"/>
    </row>
    <row r="972" spans="1:7" x14ac:dyDescent="0.35">
      <c r="A972" s="140"/>
      <c r="B972" s="8"/>
      <c r="C972" s="8"/>
      <c r="D972" s="8"/>
      <c r="E972" s="8"/>
      <c r="G972" s="19"/>
    </row>
    <row r="973" spans="1:7" x14ac:dyDescent="0.35">
      <c r="A973" s="140"/>
      <c r="B973" s="8"/>
      <c r="C973" s="8"/>
      <c r="D973" s="8"/>
      <c r="E973" s="8"/>
      <c r="G973" s="19"/>
    </row>
    <row r="974" spans="1:7" x14ac:dyDescent="0.35">
      <c r="A974" s="140"/>
      <c r="B974" s="8"/>
      <c r="C974" s="8"/>
      <c r="D974" s="8"/>
      <c r="E974" s="8"/>
      <c r="G974" s="19"/>
    </row>
    <row r="975" spans="1:7" x14ac:dyDescent="0.35">
      <c r="A975" s="140"/>
      <c r="B975" s="8"/>
      <c r="C975" s="8"/>
      <c r="D975" s="8"/>
      <c r="E975" s="8"/>
      <c r="G975" s="19"/>
    </row>
    <row r="976" spans="1:7" x14ac:dyDescent="0.35">
      <c r="A976" s="140"/>
      <c r="B976" s="8"/>
      <c r="C976" s="8"/>
      <c r="D976" s="8"/>
      <c r="E976" s="8"/>
      <c r="G976" s="19"/>
    </row>
    <row r="977" spans="1:7" x14ac:dyDescent="0.35">
      <c r="A977" s="140"/>
      <c r="B977" s="8"/>
      <c r="C977" s="8"/>
      <c r="D977" s="8"/>
      <c r="E977" s="8"/>
      <c r="G977" s="19"/>
    </row>
    <row r="978" spans="1:7" x14ac:dyDescent="0.35">
      <c r="A978" s="140"/>
      <c r="B978" s="8"/>
      <c r="C978" s="8"/>
      <c r="D978" s="8"/>
      <c r="E978" s="8"/>
      <c r="G978" s="19"/>
    </row>
    <row r="979" spans="1:7" x14ac:dyDescent="0.35">
      <c r="A979" s="140"/>
      <c r="B979" s="8"/>
      <c r="C979" s="8"/>
      <c r="D979" s="8"/>
      <c r="E979" s="8"/>
      <c r="G979" s="19"/>
    </row>
    <row r="980" spans="1:7" x14ac:dyDescent="0.35">
      <c r="A980" s="140"/>
      <c r="B980" s="8"/>
      <c r="C980" s="8"/>
      <c r="D980" s="8"/>
      <c r="E980" s="8"/>
      <c r="G980" s="19"/>
    </row>
    <row r="981" spans="1:7" x14ac:dyDescent="0.35">
      <c r="A981" s="140"/>
      <c r="B981" s="8"/>
      <c r="C981" s="8"/>
      <c r="D981" s="8"/>
      <c r="E981" s="8"/>
      <c r="G981" s="19"/>
    </row>
    <row r="982" spans="1:7" x14ac:dyDescent="0.35">
      <c r="A982" s="140"/>
      <c r="B982" s="8"/>
      <c r="C982" s="8"/>
      <c r="D982" s="8"/>
      <c r="E982" s="8"/>
      <c r="G982" s="19"/>
    </row>
    <row r="983" spans="1:7" x14ac:dyDescent="0.35">
      <c r="A983" s="140"/>
      <c r="B983" s="8"/>
      <c r="C983" s="8"/>
      <c r="D983" s="8"/>
      <c r="E983" s="8"/>
      <c r="G983" s="19"/>
    </row>
    <row r="984" spans="1:7" x14ac:dyDescent="0.35">
      <c r="A984" s="140"/>
      <c r="B984" s="8"/>
      <c r="C984" s="8"/>
      <c r="D984" s="8"/>
      <c r="E984" s="8"/>
      <c r="G984" s="19"/>
    </row>
    <row r="985" spans="1:7" x14ac:dyDescent="0.35">
      <c r="A985" s="140"/>
      <c r="B985" s="8"/>
      <c r="C985" s="8"/>
      <c r="D985" s="8"/>
      <c r="E985" s="8"/>
      <c r="G985" s="19"/>
    </row>
    <row r="986" spans="1:7" x14ac:dyDescent="0.35">
      <c r="A986" s="140"/>
      <c r="B986" s="8"/>
      <c r="C986" s="8"/>
      <c r="D986" s="8"/>
      <c r="E986" s="8"/>
      <c r="G986" s="19"/>
    </row>
    <row r="987" spans="1:7" x14ac:dyDescent="0.35">
      <c r="A987" s="140"/>
      <c r="B987" s="8"/>
      <c r="C987" s="8"/>
      <c r="D987" s="8"/>
      <c r="E987" s="8"/>
      <c r="G987" s="19"/>
    </row>
    <row r="988" spans="1:7" x14ac:dyDescent="0.35">
      <c r="A988" s="140"/>
      <c r="B988" s="8"/>
      <c r="C988" s="8"/>
      <c r="D988" s="8"/>
      <c r="E988" s="8"/>
      <c r="G988" s="19"/>
    </row>
    <row r="989" spans="1:7" x14ac:dyDescent="0.35">
      <c r="A989" s="140"/>
      <c r="B989" s="8"/>
      <c r="C989" s="8"/>
      <c r="D989" s="8"/>
      <c r="E989" s="8"/>
      <c r="G989" s="19"/>
    </row>
    <row r="990" spans="1:7" x14ac:dyDescent="0.35">
      <c r="A990" s="140"/>
      <c r="B990" s="8"/>
      <c r="C990" s="8"/>
      <c r="D990" s="8"/>
      <c r="E990" s="8"/>
      <c r="G990" s="19"/>
    </row>
    <row r="991" spans="1:7" x14ac:dyDescent="0.35">
      <c r="A991" s="140"/>
      <c r="B991" s="8"/>
      <c r="C991" s="8"/>
      <c r="D991" s="8"/>
      <c r="E991" s="8"/>
      <c r="G991" s="19"/>
    </row>
    <row r="992" spans="1:7" x14ac:dyDescent="0.35">
      <c r="A992" s="140"/>
      <c r="B992" s="8"/>
      <c r="C992" s="8"/>
      <c r="D992" s="8"/>
      <c r="E992" s="8"/>
      <c r="G992" s="19"/>
    </row>
    <row r="993" spans="1:7" x14ac:dyDescent="0.35">
      <c r="A993" s="140"/>
      <c r="B993" s="8"/>
      <c r="C993" s="8"/>
      <c r="D993" s="8"/>
      <c r="E993" s="8"/>
      <c r="G993" s="19"/>
    </row>
    <row r="994" spans="1:7" x14ac:dyDescent="0.35">
      <c r="A994" s="140"/>
      <c r="B994" s="8"/>
      <c r="C994" s="8"/>
      <c r="D994" s="8"/>
      <c r="E994" s="8"/>
      <c r="G994" s="19"/>
    </row>
    <row r="995" spans="1:7" x14ac:dyDescent="0.35">
      <c r="A995" s="140"/>
      <c r="B995" s="8"/>
      <c r="C995" s="8"/>
      <c r="D995" s="8"/>
      <c r="E995" s="8"/>
      <c r="G995" s="19"/>
    </row>
    <row r="996" spans="1:7" x14ac:dyDescent="0.35">
      <c r="A996" s="140"/>
      <c r="B996" s="8"/>
      <c r="C996" s="8"/>
      <c r="D996" s="8"/>
      <c r="E996" s="8"/>
      <c r="G996" s="19"/>
    </row>
    <row r="997" spans="1:7" x14ac:dyDescent="0.35">
      <c r="A997" s="140"/>
      <c r="B997" s="8"/>
      <c r="C997" s="8"/>
      <c r="D997" s="8"/>
      <c r="E997" s="8"/>
      <c r="G997" s="19"/>
    </row>
    <row r="998" spans="1:7" x14ac:dyDescent="0.35">
      <c r="A998" s="140"/>
      <c r="B998" s="8"/>
      <c r="C998" s="8"/>
      <c r="D998" s="8"/>
      <c r="E998" s="8"/>
      <c r="G998" s="19"/>
    </row>
    <row r="999" spans="1:7" x14ac:dyDescent="0.35">
      <c r="A999" s="140"/>
      <c r="B999" s="8"/>
      <c r="C999" s="8"/>
      <c r="D999" s="8"/>
      <c r="E999" s="8"/>
      <c r="G999" s="19"/>
    </row>
    <row r="1000" spans="1:7" x14ac:dyDescent="0.35">
      <c r="A1000" s="140"/>
      <c r="B1000" s="8"/>
      <c r="C1000" s="8"/>
      <c r="D1000" s="8"/>
      <c r="E1000" s="8"/>
      <c r="G1000" s="19"/>
    </row>
    <row r="1001" spans="1:7" x14ac:dyDescent="0.35">
      <c r="A1001" s="140"/>
      <c r="B1001" s="8"/>
      <c r="C1001" s="8"/>
      <c r="D1001" s="8"/>
      <c r="E1001" s="8"/>
      <c r="G1001" s="19"/>
    </row>
    <row r="1002" spans="1:7" x14ac:dyDescent="0.35">
      <c r="A1002" s="140"/>
      <c r="B1002" s="8"/>
      <c r="C1002" s="8"/>
      <c r="D1002" s="8"/>
      <c r="E1002" s="8"/>
      <c r="G1002" s="19"/>
    </row>
    <row r="1003" spans="1:7" x14ac:dyDescent="0.35">
      <c r="A1003" s="140"/>
      <c r="B1003" s="8"/>
      <c r="C1003" s="8"/>
      <c r="D1003" s="8"/>
      <c r="E1003" s="8"/>
      <c r="G1003" s="19"/>
    </row>
    <row r="1004" spans="1:7" x14ac:dyDescent="0.35">
      <c r="A1004" s="140"/>
      <c r="B1004" s="8"/>
      <c r="C1004" s="8"/>
      <c r="D1004" s="8"/>
      <c r="E1004" s="8"/>
      <c r="G1004" s="19"/>
    </row>
    <row r="1005" spans="1:7" x14ac:dyDescent="0.35">
      <c r="A1005" s="140"/>
      <c r="B1005" s="8"/>
      <c r="C1005" s="8"/>
      <c r="D1005" s="8"/>
      <c r="E1005" s="8"/>
      <c r="G1005" s="19"/>
    </row>
    <row r="1006" spans="1:7" x14ac:dyDescent="0.35">
      <c r="A1006" s="140"/>
      <c r="B1006" s="8"/>
      <c r="C1006" s="8"/>
      <c r="D1006" s="8"/>
      <c r="E1006" s="8"/>
      <c r="G1006" s="19"/>
    </row>
    <row r="1007" spans="1:7" x14ac:dyDescent="0.35">
      <c r="A1007" s="140"/>
      <c r="B1007" s="8"/>
      <c r="C1007" s="8"/>
      <c r="D1007" s="8"/>
      <c r="E1007" s="8"/>
      <c r="G1007" s="19"/>
    </row>
    <row r="1008" spans="1:7" x14ac:dyDescent="0.35">
      <c r="A1008" s="140"/>
      <c r="B1008" s="8"/>
      <c r="C1008" s="8"/>
      <c r="D1008" s="8"/>
      <c r="E1008" s="8"/>
      <c r="G1008" s="19"/>
    </row>
    <row r="1009" spans="1:7" x14ac:dyDescent="0.35">
      <c r="A1009" s="140"/>
      <c r="B1009" s="8"/>
      <c r="C1009" s="8"/>
      <c r="D1009" s="8"/>
      <c r="E1009" s="8"/>
      <c r="G1009" s="19"/>
    </row>
    <row r="1010" spans="1:7" x14ac:dyDescent="0.35">
      <c r="A1010" s="140"/>
      <c r="B1010" s="8"/>
      <c r="C1010" s="8"/>
      <c r="D1010" s="8"/>
      <c r="E1010" s="8"/>
      <c r="G1010" s="19"/>
    </row>
    <row r="1011" spans="1:7" x14ac:dyDescent="0.35">
      <c r="A1011" s="140"/>
      <c r="B1011" s="8"/>
      <c r="C1011" s="8"/>
      <c r="D1011" s="8"/>
      <c r="E1011" s="8"/>
      <c r="G1011" s="19"/>
    </row>
    <row r="1012" spans="1:7" x14ac:dyDescent="0.35">
      <c r="A1012" s="140"/>
      <c r="B1012" s="8"/>
      <c r="C1012" s="8"/>
      <c r="D1012" s="8"/>
      <c r="E1012" s="8"/>
      <c r="G1012" s="19"/>
    </row>
    <row r="1013" spans="1:7" x14ac:dyDescent="0.35">
      <c r="A1013" s="140"/>
      <c r="B1013" s="8"/>
      <c r="C1013" s="8"/>
      <c r="D1013" s="8"/>
      <c r="E1013" s="8"/>
      <c r="G1013" s="19"/>
    </row>
    <row r="1014" spans="1:7" x14ac:dyDescent="0.35">
      <c r="A1014" s="140"/>
      <c r="B1014" s="8"/>
      <c r="C1014" s="8"/>
      <c r="D1014" s="8"/>
      <c r="E1014" s="8"/>
      <c r="G1014" s="19"/>
    </row>
    <row r="1015" spans="1:7" x14ac:dyDescent="0.35">
      <c r="A1015" s="140"/>
      <c r="B1015" s="8"/>
      <c r="C1015" s="8"/>
      <c r="D1015" s="8"/>
      <c r="E1015" s="8"/>
      <c r="G1015" s="19"/>
    </row>
    <row r="1016" spans="1:7" x14ac:dyDescent="0.35">
      <c r="A1016" s="140"/>
      <c r="B1016" s="8"/>
      <c r="C1016" s="8"/>
      <c r="D1016" s="8"/>
      <c r="E1016" s="8"/>
      <c r="G1016" s="19"/>
    </row>
    <row r="1017" spans="1:7" x14ac:dyDescent="0.35">
      <c r="A1017" s="140"/>
      <c r="B1017" s="8"/>
      <c r="C1017" s="8"/>
      <c r="D1017" s="8"/>
      <c r="E1017" s="8"/>
      <c r="G1017" s="19"/>
    </row>
    <row r="1018" spans="1:7" x14ac:dyDescent="0.35">
      <c r="A1018" s="140"/>
      <c r="B1018" s="8"/>
      <c r="C1018" s="8"/>
      <c r="D1018" s="8"/>
      <c r="E1018" s="8"/>
      <c r="G1018" s="19"/>
    </row>
    <row r="1019" spans="1:7" x14ac:dyDescent="0.35">
      <c r="A1019" s="140"/>
      <c r="B1019" s="8"/>
      <c r="C1019" s="8"/>
      <c r="D1019" s="8"/>
      <c r="E1019" s="8"/>
      <c r="G1019" s="19"/>
    </row>
    <row r="1020" spans="1:7" x14ac:dyDescent="0.35">
      <c r="A1020" s="140"/>
      <c r="B1020" s="8"/>
      <c r="C1020" s="8"/>
      <c r="D1020" s="8"/>
      <c r="E1020" s="8"/>
      <c r="G1020" s="19"/>
    </row>
    <row r="1021" spans="1:7" x14ac:dyDescent="0.35">
      <c r="A1021" s="140"/>
      <c r="B1021" s="8"/>
      <c r="C1021" s="8"/>
      <c r="D1021" s="8"/>
      <c r="E1021" s="8"/>
      <c r="G1021" s="19"/>
    </row>
    <row r="1022" spans="1:7" x14ac:dyDescent="0.35">
      <c r="A1022" s="140"/>
      <c r="B1022" s="8"/>
      <c r="C1022" s="8"/>
      <c r="D1022" s="8"/>
      <c r="E1022" s="8"/>
      <c r="G1022" s="19"/>
    </row>
    <row r="1023" spans="1:7" x14ac:dyDescent="0.35">
      <c r="A1023" s="140"/>
      <c r="B1023" s="8"/>
      <c r="C1023" s="8"/>
      <c r="D1023" s="8"/>
      <c r="E1023" s="8"/>
      <c r="G1023" s="19"/>
    </row>
    <row r="1024" spans="1:7" x14ac:dyDescent="0.35">
      <c r="A1024" s="140"/>
      <c r="B1024" s="8"/>
      <c r="C1024" s="8"/>
      <c r="D1024" s="8"/>
      <c r="E1024" s="8"/>
      <c r="G1024" s="19"/>
    </row>
    <row r="1025" spans="1:7" x14ac:dyDescent="0.35">
      <c r="A1025" s="140"/>
      <c r="B1025" s="8"/>
      <c r="C1025" s="8"/>
      <c r="D1025" s="8"/>
      <c r="E1025" s="8"/>
      <c r="G1025" s="19"/>
    </row>
    <row r="1026" spans="1:7" x14ac:dyDescent="0.35">
      <c r="A1026" s="140"/>
      <c r="B1026" s="8"/>
      <c r="C1026" s="8"/>
      <c r="D1026" s="8"/>
      <c r="E1026" s="8"/>
      <c r="G1026" s="19"/>
    </row>
    <row r="1027" spans="1:7" x14ac:dyDescent="0.35">
      <c r="A1027" s="140"/>
      <c r="B1027" s="8"/>
      <c r="C1027" s="8"/>
      <c r="D1027" s="8"/>
      <c r="E1027" s="8"/>
      <c r="G1027" s="19"/>
    </row>
    <row r="1028" spans="1:7" x14ac:dyDescent="0.35">
      <c r="A1028" s="140"/>
      <c r="B1028" s="8"/>
      <c r="C1028" s="8"/>
      <c r="D1028" s="8"/>
      <c r="E1028" s="8"/>
      <c r="G1028" s="19"/>
    </row>
    <row r="1029" spans="1:7" x14ac:dyDescent="0.35">
      <c r="A1029" s="140"/>
      <c r="B1029" s="8"/>
      <c r="C1029" s="8"/>
      <c r="D1029" s="8"/>
      <c r="E1029" s="8"/>
      <c r="G1029" s="19"/>
    </row>
    <row r="1030" spans="1:7" x14ac:dyDescent="0.35">
      <c r="A1030" s="140"/>
      <c r="B1030" s="8"/>
      <c r="C1030" s="8"/>
      <c r="D1030" s="8"/>
      <c r="E1030" s="8"/>
      <c r="G1030" s="19"/>
    </row>
    <row r="1031" spans="1:7" x14ac:dyDescent="0.35">
      <c r="A1031" s="140"/>
      <c r="B1031" s="8"/>
      <c r="C1031" s="8"/>
      <c r="D1031" s="8"/>
      <c r="E1031" s="8"/>
      <c r="G1031" s="19"/>
    </row>
    <row r="1032" spans="1:7" x14ac:dyDescent="0.35">
      <c r="A1032" s="140"/>
      <c r="B1032" s="8"/>
      <c r="C1032" s="8"/>
      <c r="D1032" s="8"/>
      <c r="E1032" s="8"/>
      <c r="G1032" s="19"/>
    </row>
    <row r="1033" spans="1:7" x14ac:dyDescent="0.35">
      <c r="A1033" s="140"/>
      <c r="B1033" s="8"/>
      <c r="C1033" s="8"/>
      <c r="D1033" s="8"/>
      <c r="E1033" s="8"/>
      <c r="G1033" s="19"/>
    </row>
    <row r="1034" spans="1:7" x14ac:dyDescent="0.35">
      <c r="A1034" s="140"/>
      <c r="B1034" s="8"/>
      <c r="C1034" s="8"/>
      <c r="D1034" s="8"/>
      <c r="E1034" s="8"/>
      <c r="G1034" s="19"/>
    </row>
    <row r="1035" spans="1:7" x14ac:dyDescent="0.35">
      <c r="A1035" s="140"/>
      <c r="B1035" s="8"/>
      <c r="C1035" s="8"/>
      <c r="D1035" s="8"/>
      <c r="E1035" s="8"/>
      <c r="G1035" s="19"/>
    </row>
    <row r="1036" spans="1:7" x14ac:dyDescent="0.35">
      <c r="A1036" s="140"/>
      <c r="B1036" s="8"/>
      <c r="C1036" s="8"/>
      <c r="D1036" s="8"/>
      <c r="E1036" s="8"/>
      <c r="G1036" s="19"/>
    </row>
    <row r="1037" spans="1:7" x14ac:dyDescent="0.35">
      <c r="A1037" s="140"/>
      <c r="B1037" s="8"/>
      <c r="C1037" s="8"/>
      <c r="D1037" s="8"/>
      <c r="E1037" s="8"/>
      <c r="G1037" s="19"/>
    </row>
    <row r="1038" spans="1:7" x14ac:dyDescent="0.35">
      <c r="A1038" s="140"/>
      <c r="B1038" s="8"/>
      <c r="C1038" s="8"/>
      <c r="D1038" s="8"/>
      <c r="E1038" s="8"/>
      <c r="G1038" s="19"/>
    </row>
    <row r="1039" spans="1:7" x14ac:dyDescent="0.35">
      <c r="A1039" s="140"/>
      <c r="B1039" s="8"/>
      <c r="C1039" s="8"/>
      <c r="D1039" s="8"/>
      <c r="E1039" s="8"/>
      <c r="G1039" s="19"/>
    </row>
    <row r="1040" spans="1:7" x14ac:dyDescent="0.35">
      <c r="A1040" s="140"/>
      <c r="B1040" s="8"/>
      <c r="C1040" s="8"/>
      <c r="D1040" s="8"/>
      <c r="E1040" s="8"/>
      <c r="G1040" s="19"/>
    </row>
    <row r="1041" spans="1:7" x14ac:dyDescent="0.35">
      <c r="A1041" s="140"/>
      <c r="B1041" s="8"/>
      <c r="C1041" s="8"/>
      <c r="D1041" s="8"/>
      <c r="E1041" s="8"/>
      <c r="G1041" s="19"/>
    </row>
    <row r="1042" spans="1:7" x14ac:dyDescent="0.35">
      <c r="A1042" s="140"/>
      <c r="B1042" s="8"/>
      <c r="C1042" s="8"/>
      <c r="D1042" s="8"/>
      <c r="E1042" s="8"/>
      <c r="G1042" s="19"/>
    </row>
    <row r="1043" spans="1:7" x14ac:dyDescent="0.35">
      <c r="A1043" s="140"/>
      <c r="B1043" s="8"/>
      <c r="C1043" s="8"/>
      <c r="D1043" s="8"/>
      <c r="E1043" s="8"/>
      <c r="G1043" s="19"/>
    </row>
    <row r="1044" spans="1:7" x14ac:dyDescent="0.35">
      <c r="A1044" s="140"/>
      <c r="B1044" s="8"/>
      <c r="C1044" s="8"/>
      <c r="D1044" s="8"/>
      <c r="E1044" s="8"/>
      <c r="G1044" s="19"/>
    </row>
    <row r="1045" spans="1:7" x14ac:dyDescent="0.35">
      <c r="A1045" s="140"/>
      <c r="B1045" s="8"/>
      <c r="C1045" s="8"/>
      <c r="D1045" s="8"/>
      <c r="E1045" s="8"/>
      <c r="G1045" s="19"/>
    </row>
    <row r="1046" spans="1:7" x14ac:dyDescent="0.35">
      <c r="A1046" s="140"/>
      <c r="B1046" s="8"/>
      <c r="C1046" s="8"/>
      <c r="D1046" s="8"/>
      <c r="E1046" s="8"/>
      <c r="G1046" s="19"/>
    </row>
    <row r="1047" spans="1:7" x14ac:dyDescent="0.35">
      <c r="A1047" s="140"/>
      <c r="B1047" s="8"/>
      <c r="C1047" s="8"/>
      <c r="D1047" s="8"/>
      <c r="E1047" s="8"/>
      <c r="G1047" s="19"/>
    </row>
    <row r="1048" spans="1:7" x14ac:dyDescent="0.35">
      <c r="A1048" s="140"/>
      <c r="B1048" s="8"/>
      <c r="C1048" s="8"/>
      <c r="D1048" s="8"/>
      <c r="E1048" s="8"/>
      <c r="G1048" s="19"/>
    </row>
    <row r="1049" spans="1:7" x14ac:dyDescent="0.35">
      <c r="A1049" s="140"/>
      <c r="B1049" s="8"/>
      <c r="C1049" s="8"/>
      <c r="D1049" s="8"/>
      <c r="E1049" s="8"/>
      <c r="G1049" s="19"/>
    </row>
    <row r="1050" spans="1:7" x14ac:dyDescent="0.35">
      <c r="A1050" s="140"/>
      <c r="B1050" s="8"/>
      <c r="C1050" s="8"/>
      <c r="D1050" s="8"/>
      <c r="E1050" s="8"/>
      <c r="G1050" s="19"/>
    </row>
    <row r="1051" spans="1:7" x14ac:dyDescent="0.35">
      <c r="A1051" s="140"/>
      <c r="B1051" s="8"/>
      <c r="C1051" s="8"/>
      <c r="D1051" s="8"/>
      <c r="E1051" s="8"/>
      <c r="G1051" s="19"/>
    </row>
    <row r="1052" spans="1:7" x14ac:dyDescent="0.35">
      <c r="A1052" s="140"/>
      <c r="B1052" s="8"/>
      <c r="C1052" s="8"/>
      <c r="D1052" s="8"/>
      <c r="E1052" s="8"/>
      <c r="G1052" s="19"/>
    </row>
    <row r="1053" spans="1:7" x14ac:dyDescent="0.35">
      <c r="A1053" s="140"/>
      <c r="B1053" s="8"/>
      <c r="C1053" s="8"/>
      <c r="D1053" s="8"/>
      <c r="E1053" s="8"/>
      <c r="G1053" s="19"/>
    </row>
    <row r="1054" spans="1:7" x14ac:dyDescent="0.35">
      <c r="A1054" s="140"/>
      <c r="B1054" s="8"/>
      <c r="C1054" s="8"/>
      <c r="D1054" s="8"/>
      <c r="E1054" s="8"/>
      <c r="G1054" s="19"/>
    </row>
    <row r="1055" spans="1:7" x14ac:dyDescent="0.35">
      <c r="A1055" s="140"/>
      <c r="B1055" s="8"/>
      <c r="C1055" s="8"/>
      <c r="D1055" s="8"/>
      <c r="E1055" s="8"/>
      <c r="G1055" s="19"/>
    </row>
    <row r="1056" spans="1:7" x14ac:dyDescent="0.35">
      <c r="A1056" s="140"/>
      <c r="B1056" s="8"/>
      <c r="C1056" s="8"/>
      <c r="D1056" s="8"/>
      <c r="E1056" s="8"/>
      <c r="G1056" s="19"/>
    </row>
    <row r="1057" spans="1:7" x14ac:dyDescent="0.35">
      <c r="A1057" s="140"/>
      <c r="B1057" s="8"/>
      <c r="C1057" s="8"/>
      <c r="D1057" s="8"/>
      <c r="E1057" s="8"/>
      <c r="G1057" s="19"/>
    </row>
    <row r="1058" spans="1:7" x14ac:dyDescent="0.35">
      <c r="A1058" s="140"/>
      <c r="B1058" s="8"/>
      <c r="C1058" s="8"/>
      <c r="D1058" s="8"/>
      <c r="E1058" s="8"/>
      <c r="G1058" s="19"/>
    </row>
    <row r="1059" spans="1:7" x14ac:dyDescent="0.35">
      <c r="A1059" s="140"/>
      <c r="B1059" s="8"/>
      <c r="C1059" s="8"/>
      <c r="D1059" s="8"/>
      <c r="E1059" s="8"/>
      <c r="G1059" s="19"/>
    </row>
    <row r="1060" spans="1:7" x14ac:dyDescent="0.35">
      <c r="A1060" s="140"/>
      <c r="B1060" s="8"/>
      <c r="C1060" s="8"/>
      <c r="D1060" s="8"/>
      <c r="E1060" s="8"/>
      <c r="G1060" s="19"/>
    </row>
    <row r="1061" spans="1:7" x14ac:dyDescent="0.35">
      <c r="A1061" s="140"/>
      <c r="B1061" s="8"/>
      <c r="C1061" s="8"/>
      <c r="D1061" s="8"/>
      <c r="E1061" s="8"/>
      <c r="G1061" s="19"/>
    </row>
    <row r="1062" spans="1:7" x14ac:dyDescent="0.35">
      <c r="A1062" s="140"/>
      <c r="B1062" s="8"/>
      <c r="C1062" s="8"/>
      <c r="D1062" s="8"/>
      <c r="E1062" s="8"/>
      <c r="G1062" s="19"/>
    </row>
    <row r="1063" spans="1:7" x14ac:dyDescent="0.35">
      <c r="A1063" s="140"/>
      <c r="B1063" s="8"/>
      <c r="C1063" s="8"/>
      <c r="D1063" s="8"/>
      <c r="E1063" s="8"/>
      <c r="G1063" s="19"/>
    </row>
    <row r="1064" spans="1:7" x14ac:dyDescent="0.35">
      <c r="A1064" s="140"/>
      <c r="B1064" s="8"/>
      <c r="C1064" s="8"/>
      <c r="D1064" s="8"/>
      <c r="E1064" s="8"/>
      <c r="G1064" s="19"/>
    </row>
    <row r="1065" spans="1:7" x14ac:dyDescent="0.35">
      <c r="A1065" s="140"/>
      <c r="B1065" s="8"/>
      <c r="C1065" s="8"/>
      <c r="D1065" s="8"/>
      <c r="E1065" s="8"/>
      <c r="G1065" s="19"/>
    </row>
    <row r="1066" spans="1:7" x14ac:dyDescent="0.35">
      <c r="A1066" s="140"/>
      <c r="B1066" s="8"/>
      <c r="C1066" s="8"/>
      <c r="D1066" s="8"/>
      <c r="E1066" s="8"/>
      <c r="G1066" s="19"/>
    </row>
    <row r="1067" spans="1:7" x14ac:dyDescent="0.35">
      <c r="A1067" s="140"/>
      <c r="B1067" s="8"/>
      <c r="C1067" s="8"/>
      <c r="D1067" s="8"/>
      <c r="E1067" s="8"/>
      <c r="G1067" s="19"/>
    </row>
    <row r="1068" spans="1:7" x14ac:dyDescent="0.35">
      <c r="A1068" s="140"/>
      <c r="B1068" s="8"/>
      <c r="C1068" s="8"/>
      <c r="D1068" s="8"/>
      <c r="E1068" s="8"/>
      <c r="G1068" s="19"/>
    </row>
    <row r="1069" spans="1:7" x14ac:dyDescent="0.35">
      <c r="A1069" s="140"/>
      <c r="B1069" s="8"/>
      <c r="C1069" s="8"/>
      <c r="D1069" s="8"/>
      <c r="E1069" s="8"/>
      <c r="G1069" s="19"/>
    </row>
    <row r="1070" spans="1:7" x14ac:dyDescent="0.35">
      <c r="A1070" s="140"/>
      <c r="B1070" s="8"/>
      <c r="C1070" s="8"/>
      <c r="D1070" s="8"/>
      <c r="E1070" s="8"/>
      <c r="G1070" s="19"/>
    </row>
    <row r="1071" spans="1:7" x14ac:dyDescent="0.35">
      <c r="A1071" s="140"/>
      <c r="B1071" s="8"/>
      <c r="C1071" s="8"/>
      <c r="D1071" s="8"/>
      <c r="E1071" s="8"/>
      <c r="G1071" s="19"/>
    </row>
    <row r="1072" spans="1:7" x14ac:dyDescent="0.35">
      <c r="A1072" s="140"/>
      <c r="B1072" s="8"/>
      <c r="C1072" s="8"/>
      <c r="D1072" s="8"/>
      <c r="E1072" s="8"/>
      <c r="G1072" s="19"/>
    </row>
    <row r="1073" spans="1:7" x14ac:dyDescent="0.35">
      <c r="A1073" s="140"/>
      <c r="B1073" s="8"/>
      <c r="C1073" s="8"/>
      <c r="D1073" s="8"/>
      <c r="E1073" s="8"/>
      <c r="G1073" s="19"/>
    </row>
    <row r="1074" spans="1:7" x14ac:dyDescent="0.35">
      <c r="A1074" s="140"/>
      <c r="B1074" s="8"/>
      <c r="C1074" s="8"/>
      <c r="D1074" s="8"/>
      <c r="E1074" s="8"/>
      <c r="G1074" s="19"/>
    </row>
    <row r="1075" spans="1:7" x14ac:dyDescent="0.35">
      <c r="A1075" s="140"/>
      <c r="B1075" s="8"/>
      <c r="C1075" s="8"/>
      <c r="D1075" s="8"/>
      <c r="E1075" s="8"/>
      <c r="G1075" s="19"/>
    </row>
    <row r="1076" spans="1:7" x14ac:dyDescent="0.35">
      <c r="A1076" s="140"/>
      <c r="B1076" s="8"/>
      <c r="C1076" s="8"/>
      <c r="D1076" s="8"/>
      <c r="E1076" s="8"/>
      <c r="G1076" s="19"/>
    </row>
    <row r="1077" spans="1:7" x14ac:dyDescent="0.35">
      <c r="A1077" s="140"/>
      <c r="B1077" s="8"/>
      <c r="C1077" s="8"/>
      <c r="D1077" s="8"/>
      <c r="E1077" s="8"/>
      <c r="G1077" s="19"/>
    </row>
    <row r="1078" spans="1:7" x14ac:dyDescent="0.35">
      <c r="A1078" s="140"/>
      <c r="B1078" s="8"/>
      <c r="C1078" s="8"/>
      <c r="D1078" s="8"/>
      <c r="E1078" s="8"/>
      <c r="G1078" s="19"/>
    </row>
    <row r="1079" spans="1:7" x14ac:dyDescent="0.35">
      <c r="A1079" s="140"/>
      <c r="B1079" s="8"/>
      <c r="C1079" s="8"/>
      <c r="D1079" s="8"/>
      <c r="E1079" s="8"/>
      <c r="G1079" s="19"/>
    </row>
    <row r="1080" spans="1:7" x14ac:dyDescent="0.35">
      <c r="A1080" s="140"/>
      <c r="B1080" s="8"/>
      <c r="C1080" s="8"/>
      <c r="D1080" s="8"/>
      <c r="E1080" s="8"/>
      <c r="G1080" s="19"/>
    </row>
    <row r="1081" spans="1:7" x14ac:dyDescent="0.35">
      <c r="A1081" s="140"/>
      <c r="B1081" s="8"/>
      <c r="C1081" s="8"/>
      <c r="D1081" s="8"/>
      <c r="E1081" s="8"/>
      <c r="G1081" s="19"/>
    </row>
    <row r="1082" spans="1:7" x14ac:dyDescent="0.35">
      <c r="A1082" s="140"/>
      <c r="B1082" s="8"/>
      <c r="C1082" s="8"/>
      <c r="D1082" s="8"/>
      <c r="E1082" s="8"/>
      <c r="G1082" s="19"/>
    </row>
    <row r="1083" spans="1:7" x14ac:dyDescent="0.35">
      <c r="A1083" s="140"/>
      <c r="B1083" s="8"/>
      <c r="C1083" s="8"/>
      <c r="D1083" s="8"/>
      <c r="E1083" s="8"/>
      <c r="G1083" s="19"/>
    </row>
    <row r="1084" spans="1:7" x14ac:dyDescent="0.35">
      <c r="A1084" s="140"/>
      <c r="B1084" s="8"/>
      <c r="C1084" s="8"/>
      <c r="D1084" s="8"/>
      <c r="E1084" s="8"/>
      <c r="G1084" s="19"/>
    </row>
    <row r="1085" spans="1:7" x14ac:dyDescent="0.35">
      <c r="A1085" s="140"/>
      <c r="B1085" s="8"/>
      <c r="C1085" s="8"/>
      <c r="D1085" s="8"/>
      <c r="E1085" s="8"/>
      <c r="G1085" s="19"/>
    </row>
    <row r="1086" spans="1:7" x14ac:dyDescent="0.35">
      <c r="A1086" s="140"/>
      <c r="B1086" s="8"/>
      <c r="C1086" s="8"/>
      <c r="D1086" s="8"/>
      <c r="E1086" s="8"/>
      <c r="G1086" s="19"/>
    </row>
    <row r="1087" spans="1:7" x14ac:dyDescent="0.35">
      <c r="A1087" s="140"/>
      <c r="B1087" s="8"/>
      <c r="C1087" s="8"/>
      <c r="D1087" s="8"/>
      <c r="E1087" s="8"/>
      <c r="G1087" s="19"/>
    </row>
    <row r="1088" spans="1:7" x14ac:dyDescent="0.35">
      <c r="A1088" s="140"/>
      <c r="B1088" s="8"/>
      <c r="C1088" s="8"/>
      <c r="D1088" s="8"/>
      <c r="E1088" s="8"/>
      <c r="G1088" s="19"/>
    </row>
    <row r="1089" spans="1:7" x14ac:dyDescent="0.35">
      <c r="A1089" s="140"/>
      <c r="B1089" s="8"/>
      <c r="C1089" s="8"/>
      <c r="D1089" s="8"/>
      <c r="E1089" s="8"/>
      <c r="G1089" s="19"/>
    </row>
    <row r="1090" spans="1:7" x14ac:dyDescent="0.35">
      <c r="A1090" s="140"/>
      <c r="B1090" s="8"/>
      <c r="C1090" s="8"/>
      <c r="D1090" s="8"/>
      <c r="E1090" s="8"/>
      <c r="G1090" s="19"/>
    </row>
    <row r="1091" spans="1:7" x14ac:dyDescent="0.35">
      <c r="A1091" s="140"/>
      <c r="B1091" s="8"/>
      <c r="C1091" s="8"/>
      <c r="D1091" s="8"/>
      <c r="E1091" s="8"/>
      <c r="G1091" s="19"/>
    </row>
    <row r="1092" spans="1:7" x14ac:dyDescent="0.35">
      <c r="A1092" s="140"/>
      <c r="B1092" s="8"/>
      <c r="C1092" s="8"/>
      <c r="D1092" s="8"/>
      <c r="E1092" s="8"/>
      <c r="G1092" s="19"/>
    </row>
    <row r="1093" spans="1:7" x14ac:dyDescent="0.35">
      <c r="A1093" s="140"/>
      <c r="B1093" s="8"/>
      <c r="C1093" s="8"/>
      <c r="D1093" s="8"/>
      <c r="E1093" s="8"/>
      <c r="G1093" s="19"/>
    </row>
    <row r="1094" spans="1:7" x14ac:dyDescent="0.35">
      <c r="A1094" s="140"/>
      <c r="B1094" s="8"/>
      <c r="C1094" s="8"/>
      <c r="D1094" s="8"/>
      <c r="E1094" s="8"/>
      <c r="G1094" s="19"/>
    </row>
    <row r="1095" spans="1:7" x14ac:dyDescent="0.35">
      <c r="A1095" s="140"/>
      <c r="B1095" s="8"/>
      <c r="C1095" s="8"/>
      <c r="D1095" s="8"/>
      <c r="E1095" s="8"/>
      <c r="G1095" s="19"/>
    </row>
    <row r="1096" spans="1:7" x14ac:dyDescent="0.35">
      <c r="A1096" s="140"/>
      <c r="B1096" s="8"/>
      <c r="C1096" s="8"/>
      <c r="D1096" s="8"/>
      <c r="E1096" s="8"/>
      <c r="G1096" s="19"/>
    </row>
    <row r="1097" spans="1:7" x14ac:dyDescent="0.35">
      <c r="A1097" s="140"/>
      <c r="B1097" s="8"/>
      <c r="C1097" s="8"/>
      <c r="D1097" s="8"/>
      <c r="E1097" s="8"/>
      <c r="G1097" s="19"/>
    </row>
    <row r="1098" spans="1:7" x14ac:dyDescent="0.35">
      <c r="A1098" s="140"/>
      <c r="B1098" s="8"/>
      <c r="C1098" s="8"/>
      <c r="D1098" s="8"/>
      <c r="E1098" s="8"/>
      <c r="G1098" s="19"/>
    </row>
    <row r="1099" spans="1:7" x14ac:dyDescent="0.35">
      <c r="A1099" s="140"/>
      <c r="B1099" s="8"/>
      <c r="C1099" s="8"/>
      <c r="D1099" s="8"/>
      <c r="E1099" s="8"/>
      <c r="G1099" s="19"/>
    </row>
    <row r="1100" spans="1:7" x14ac:dyDescent="0.35">
      <c r="A1100" s="140"/>
      <c r="B1100" s="8"/>
      <c r="C1100" s="8"/>
      <c r="D1100" s="8"/>
      <c r="E1100" s="8"/>
      <c r="G1100" s="19"/>
    </row>
    <row r="1101" spans="1:7" x14ac:dyDescent="0.35">
      <c r="A1101" s="140"/>
      <c r="B1101" s="8"/>
      <c r="C1101" s="8"/>
      <c r="D1101" s="8"/>
      <c r="E1101" s="8"/>
      <c r="G1101" s="19"/>
    </row>
    <row r="1102" spans="1:7" x14ac:dyDescent="0.35">
      <c r="A1102" s="140"/>
      <c r="B1102" s="8"/>
      <c r="C1102" s="8"/>
      <c r="D1102" s="8"/>
      <c r="E1102" s="8"/>
      <c r="G1102" s="19"/>
    </row>
    <row r="1103" spans="1:7" x14ac:dyDescent="0.35">
      <c r="A1103" s="140"/>
      <c r="B1103" s="8"/>
      <c r="C1103" s="8"/>
      <c r="D1103" s="8"/>
      <c r="E1103" s="8"/>
      <c r="G1103" s="19"/>
    </row>
    <row r="1104" spans="1:7" x14ac:dyDescent="0.35">
      <c r="A1104" s="140"/>
      <c r="B1104" s="8"/>
      <c r="C1104" s="8"/>
      <c r="D1104" s="8"/>
      <c r="E1104" s="8"/>
      <c r="G1104" s="19"/>
    </row>
    <row r="1105" spans="1:7" x14ac:dyDescent="0.35">
      <c r="A1105" s="140"/>
      <c r="B1105" s="8"/>
      <c r="C1105" s="8"/>
      <c r="D1105" s="8"/>
      <c r="E1105" s="8"/>
      <c r="G1105" s="19"/>
    </row>
    <row r="1106" spans="1:7" x14ac:dyDescent="0.35">
      <c r="A1106" s="140"/>
      <c r="B1106" s="8"/>
      <c r="C1106" s="8"/>
      <c r="D1106" s="8"/>
      <c r="E1106" s="8"/>
      <c r="G1106" s="19"/>
    </row>
    <row r="1107" spans="1:7" x14ac:dyDescent="0.35">
      <c r="A1107" s="140"/>
      <c r="B1107" s="8"/>
      <c r="C1107" s="8"/>
      <c r="D1107" s="8"/>
      <c r="E1107" s="8"/>
      <c r="G1107" s="19"/>
    </row>
    <row r="1108" spans="1:7" x14ac:dyDescent="0.35">
      <c r="A1108" s="140"/>
      <c r="B1108" s="8"/>
      <c r="C1108" s="8"/>
      <c r="D1108" s="8"/>
      <c r="E1108" s="8"/>
      <c r="G1108" s="19"/>
    </row>
    <row r="1109" spans="1:7" x14ac:dyDescent="0.35">
      <c r="A1109" s="140"/>
      <c r="B1109" s="8"/>
      <c r="C1109" s="8"/>
      <c r="D1109" s="8"/>
      <c r="E1109" s="8"/>
      <c r="G1109" s="19"/>
    </row>
    <row r="1110" spans="1:7" x14ac:dyDescent="0.35">
      <c r="A1110" s="140"/>
      <c r="B1110" s="8"/>
      <c r="C1110" s="8"/>
      <c r="D1110" s="8"/>
      <c r="E1110" s="8"/>
      <c r="G1110" s="19"/>
    </row>
    <row r="1111" spans="1:7" x14ac:dyDescent="0.35">
      <c r="A1111" s="140"/>
      <c r="B1111" s="8"/>
      <c r="C1111" s="8"/>
      <c r="D1111" s="8"/>
      <c r="E1111" s="8"/>
      <c r="G1111" s="19"/>
    </row>
    <row r="1112" spans="1:7" x14ac:dyDescent="0.35">
      <c r="A1112" s="140"/>
      <c r="B1112" s="8"/>
      <c r="C1112" s="8"/>
      <c r="D1112" s="8"/>
      <c r="E1112" s="8"/>
      <c r="G1112" s="19"/>
    </row>
    <row r="1113" spans="1:7" x14ac:dyDescent="0.35">
      <c r="A1113" s="140"/>
      <c r="B1113" s="8"/>
      <c r="C1113" s="8"/>
      <c r="D1113" s="8"/>
      <c r="E1113" s="8"/>
      <c r="G1113" s="19"/>
    </row>
    <row r="1114" spans="1:7" x14ac:dyDescent="0.35">
      <c r="A1114" s="140"/>
      <c r="B1114" s="8"/>
      <c r="C1114" s="8"/>
      <c r="D1114" s="8"/>
      <c r="E1114" s="8"/>
      <c r="G1114" s="19"/>
    </row>
    <row r="1115" spans="1:7" x14ac:dyDescent="0.35">
      <c r="A1115" s="140"/>
      <c r="B1115" s="8"/>
      <c r="C1115" s="8"/>
      <c r="D1115" s="8"/>
      <c r="E1115" s="8"/>
      <c r="G1115" s="19"/>
    </row>
    <row r="1116" spans="1:7" x14ac:dyDescent="0.35">
      <c r="A1116" s="140"/>
      <c r="B1116" s="8"/>
      <c r="C1116" s="8"/>
      <c r="D1116" s="8"/>
      <c r="E1116" s="8"/>
      <c r="G1116" s="19"/>
    </row>
    <row r="1117" spans="1:7" x14ac:dyDescent="0.35">
      <c r="A1117" s="140"/>
      <c r="B1117" s="8"/>
      <c r="C1117" s="8"/>
      <c r="D1117" s="8"/>
      <c r="E1117" s="8"/>
      <c r="G1117" s="19"/>
    </row>
    <row r="1118" spans="1:7" x14ac:dyDescent="0.35">
      <c r="A1118" s="140"/>
      <c r="B1118" s="8"/>
      <c r="C1118" s="8"/>
      <c r="D1118" s="8"/>
      <c r="E1118" s="8"/>
      <c r="G1118" s="19"/>
    </row>
    <row r="1119" spans="1:7" x14ac:dyDescent="0.35">
      <c r="A1119" s="140"/>
      <c r="B1119" s="8"/>
      <c r="C1119" s="8"/>
      <c r="D1119" s="8"/>
      <c r="E1119" s="8"/>
      <c r="G1119" s="19"/>
    </row>
    <row r="1120" spans="1:7" x14ac:dyDescent="0.35">
      <c r="A1120" s="140"/>
      <c r="B1120" s="8"/>
      <c r="C1120" s="8"/>
      <c r="D1120" s="8"/>
      <c r="E1120" s="8"/>
      <c r="G1120" s="19"/>
    </row>
    <row r="1121" spans="1:7" x14ac:dyDescent="0.35">
      <c r="A1121" s="140"/>
      <c r="B1121" s="8"/>
      <c r="C1121" s="8"/>
      <c r="D1121" s="8"/>
      <c r="E1121" s="8"/>
      <c r="G1121" s="19"/>
    </row>
    <row r="1122" spans="1:7" x14ac:dyDescent="0.35">
      <c r="A1122" s="140"/>
      <c r="B1122" s="8"/>
      <c r="C1122" s="8"/>
      <c r="D1122" s="8"/>
      <c r="E1122" s="8"/>
      <c r="G1122" s="19"/>
    </row>
    <row r="1123" spans="1:7" x14ac:dyDescent="0.35">
      <c r="A1123" s="140"/>
      <c r="B1123" s="8"/>
      <c r="C1123" s="8"/>
      <c r="D1123" s="8"/>
      <c r="E1123" s="8"/>
      <c r="G1123" s="19"/>
    </row>
    <row r="1124" spans="1:7" x14ac:dyDescent="0.35">
      <c r="A1124" s="140"/>
      <c r="B1124" s="8"/>
      <c r="C1124" s="8"/>
      <c r="D1124" s="8"/>
      <c r="E1124" s="8"/>
      <c r="G1124" s="19"/>
    </row>
    <row r="1125" spans="1:7" x14ac:dyDescent="0.35">
      <c r="A1125" s="140"/>
      <c r="B1125" s="8"/>
      <c r="C1125" s="8"/>
      <c r="D1125" s="8"/>
      <c r="E1125" s="8"/>
      <c r="G1125" s="19"/>
    </row>
    <row r="1126" spans="1:7" x14ac:dyDescent="0.35">
      <c r="A1126" s="140"/>
      <c r="B1126" s="8"/>
      <c r="C1126" s="8"/>
      <c r="D1126" s="8"/>
      <c r="E1126" s="8"/>
      <c r="G1126" s="19"/>
    </row>
    <row r="1127" spans="1:7" x14ac:dyDescent="0.35">
      <c r="A1127" s="140"/>
      <c r="B1127" s="8"/>
      <c r="C1127" s="8"/>
      <c r="D1127" s="8"/>
      <c r="E1127" s="8"/>
      <c r="G1127" s="19"/>
    </row>
    <row r="1128" spans="1:7" x14ac:dyDescent="0.35">
      <c r="A1128" s="140"/>
      <c r="B11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Product contribution</vt:lpstr>
      <vt:lpstr>Balance Sheet</vt:lpstr>
      <vt:lpstr>Balance Sheet Trend analysis</vt:lpstr>
      <vt:lpstr>income statement</vt:lpstr>
      <vt:lpstr>income statement Trend Analysis</vt:lpstr>
      <vt:lpstr>Cash flow</vt:lpstr>
      <vt:lpstr>Ratio analysis</vt:lpstr>
      <vt:lpstr>Data</vt:lpstr>
      <vt:lpstr>Visualization</vt:lpstr>
      <vt:lpstr>P&amp;L Assumptions</vt:lpstr>
      <vt:lpstr>BS assumptions</vt:lpstr>
      <vt:lpstr>P&amp;L forcast</vt:lpstr>
      <vt:lpstr>BS Forcast</vt:lpstr>
      <vt:lpstr>Cash Flow forcast</vt:lpstr>
      <vt:lpstr>WACC</vt:lpstr>
      <vt:lpstr>DCF Valuation</vt:lpstr>
      <vt:lpstr>sensitivity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sain</dc:creator>
  <cp:lastModifiedBy>harsh sain</cp:lastModifiedBy>
  <dcterms:created xsi:type="dcterms:W3CDTF">2026-10-09T08:46:53Z</dcterms:created>
  <dcterms:modified xsi:type="dcterms:W3CDTF">2026-10-25T02:40:16Z</dcterms:modified>
</cp:coreProperties>
</file>